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bhar1609\OneDrive - Amman Mineral\Documents\BGS\kawal_LPDM\kawal_LPMD\"/>
    </mc:Choice>
  </mc:AlternateContent>
  <bookViews>
    <workbookView minimized="1" xWindow="-110" yWindow="-110" windowWidth="19420" windowHeight="10300" tabRatio="500" activeTab="1"/>
  </bookViews>
  <sheets>
    <sheet name="DATA GAPOKTAN " sheetId="1" r:id="rId1"/>
    <sheet name="DATA POKTAN" sheetId="5" r:id="rId2"/>
    <sheet name="desa" sheetId="6" r:id="rId3"/>
  </sheets>
  <definedNames>
    <definedName name="_xlnm._FilterDatabase" localSheetId="1" hidden="1">'DATA POKTAN'!$L$2:$N$231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5" l="1"/>
  <c r="N3" i="5"/>
  <c r="N4" i="1"/>
  <c r="N5" i="1"/>
  <c r="N6" i="1"/>
  <c r="N7" i="1"/>
  <c r="N8" i="1"/>
  <c r="N9" i="1"/>
  <c r="N3" i="1"/>
  <c r="L4" i="1"/>
  <c r="L5" i="1"/>
  <c r="L6" i="1"/>
  <c r="L7" i="1"/>
  <c r="L8" i="1"/>
  <c r="L9" i="1"/>
  <c r="L3" i="1"/>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alcChain>
</file>

<file path=xl/sharedStrings.xml><?xml version="1.0" encoding="utf-8"?>
<sst xmlns="http://schemas.openxmlformats.org/spreadsheetml/2006/main" count="1352" uniqueCount="479">
  <si>
    <t>No</t>
  </si>
  <si>
    <t>Nama Desa</t>
  </si>
  <si>
    <t>Nama Gapoktan</t>
  </si>
  <si>
    <t>Nama Ketua</t>
  </si>
  <si>
    <t>Alamat Sekretariat</t>
  </si>
  <si>
    <t>Tahun Pembentukan</t>
  </si>
  <si>
    <t>Unit Usaha</t>
  </si>
  <si>
    <t>Mampis Rungan</t>
  </si>
  <si>
    <t>Dusun Senayan Atas Desa Senayan Kec. Poto Tano</t>
  </si>
  <si>
    <t>Olat Mantar</t>
  </si>
  <si>
    <t>Syafaruddin</t>
  </si>
  <si>
    <t>Kiantar</t>
  </si>
  <si>
    <t>Maju Bersama</t>
  </si>
  <si>
    <t>Ahmad</t>
  </si>
  <si>
    <t>Bambang Irawan</t>
  </si>
  <si>
    <t>Bangka Bela</t>
  </si>
  <si>
    <t>Saparuddin</t>
  </si>
  <si>
    <t>Desa Tua Nanga</t>
  </si>
  <si>
    <t>Tutu Ate</t>
  </si>
  <si>
    <t>A. Hamid Hasim</t>
  </si>
  <si>
    <t>Desa Tebo</t>
  </si>
  <si>
    <t>Kokar Makmur</t>
  </si>
  <si>
    <t>Samsul Arifin</t>
  </si>
  <si>
    <t>Desa Kokarlian</t>
  </si>
  <si>
    <t>-</t>
  </si>
  <si>
    <t>Jumlah Anggota (Poktan)</t>
  </si>
  <si>
    <t>Daya Makmur                                                                                                                                            Tambah Anggota                                                  Tambah Bantuan                                                  Komoditas yang diusahakan                                                                                                   Input Jenis Kelompok                                                   Ubah                                                  Hapus</t>
  </si>
  <si>
    <t>Nyoman Lunas</t>
  </si>
  <si>
    <t>Budisari-1                                                                                                                                            Tambah Anggota                                                  Tambah Bantuan                                                  Komoditas yang diusahakan                                                                                                   Input Jenis Kelompok                                                   Ubah                                                  Hapus</t>
  </si>
  <si>
    <t>Budisari-2                                                                                                                                            Tambah Anggota                                                  Tambah Bantuan                                                  Komoditas yang diusahakan                                                                                                   Input Jenis Kelompok                                                   Ubah                                                  Hapus</t>
  </si>
  <si>
    <t>Wayan Murtha</t>
  </si>
  <si>
    <t>Buanasari                                                                                                                                            Tambah Anggota                                                  Tambah Bantuan                                                  Komoditas yang diusahakan                                                                                                   Input Jenis Kelompok                                                   Ubah                                                  Hapus</t>
  </si>
  <si>
    <t>Gede Budiartha</t>
  </si>
  <si>
    <t>Yadnyasari I                                                                                                                                            Tambah Anggota                                                  Tambah Bantuan                                                  Komoditas yang diusahakan                                                                                                   Input Jenis Kelompok                                                   Ubah                                                  Hapus</t>
  </si>
  <si>
    <t>Idham</t>
  </si>
  <si>
    <t>Maju Bersama                                                                                                                                            Tambah Anggota                                                  Tambah Bantuan                                                  Komoditas yang diusahakan                                                                                                   Input Jenis Kelompok                                                   Ubah                                                  Hapus</t>
  </si>
  <si>
    <t>Ramli Usman</t>
  </si>
  <si>
    <t>Batu Alang                                                                                                                                            Tambah Anggota                                                  Tambah Bantuan                                                  Komoditas yang diusahakan                                                                                                   Input Jenis Kelompok                                                   Ubah                                                  Hapus</t>
  </si>
  <si>
    <t>Bina Tani Terpadu-1                                                                                                                                            Tambah Anggota                                                  Tambah Bantuan                                                  Komoditas yang diusahakan                                                                                                   Input Jenis Kelompok                                                   Ubah                                                  Hapus</t>
  </si>
  <si>
    <t>Ardianto</t>
  </si>
  <si>
    <t>Saling Beme                                                                                                                                            Tambah Anggota                                                  Tambah Bantuan                                                  Komoditas yang diusahakan                                                                                                   Input Jenis Kelompok                                                   Ubah                                                  Hapus</t>
  </si>
  <si>
    <t>I Nengah Pendra</t>
  </si>
  <si>
    <t>Budisari                                                                                                                                            Tambah Anggota                                                  Tambah Bantuan                                                  Komoditas yang diusahakan                                                                                                   Input Jenis Kelompok                                                   Ubah                                                  Hapus</t>
  </si>
  <si>
    <t>Saat</t>
  </si>
  <si>
    <t>Angin Topan                                                                                                                                            Tambah Anggota                                                  Tambah Bantuan                                                  Komoditas yang diusahakan                                                                                                   Input Jenis Kelompok                                                   Ubah                                                  Hapus</t>
  </si>
  <si>
    <t>Nurdin. S.Pd</t>
  </si>
  <si>
    <t>Saling Asih                                                                                                                                            Tambah Anggota                                                  Tambah Bantuan                                                  Komoditas yang diusahakan                                                                                                   Input Jenis Kelompok                                                   Ubah                                                  Hapus</t>
  </si>
  <si>
    <t>Mustakim</t>
  </si>
  <si>
    <t>Bumi Damai                                                                                                                                            Tambah Anggota                                                  Tambah Bantuan                                                  Komoditas yang diusahakan                                                                                                   Input Jenis Kelompok                                                   Ubah                                                  Hapus</t>
  </si>
  <si>
    <t>Sudarli Pedil</t>
  </si>
  <si>
    <t>Balong Ate                                                                                                                                            Tambah Anggota                                                  Tambah Bantuan                                                  Komoditas yang diusahakan                                                                                                   Input Jenis Kelompok                                                   Ubah                                                  Hapus</t>
  </si>
  <si>
    <t>Saepul</t>
  </si>
  <si>
    <t>Pendi Jangi                                                                                                                                            Tambah Anggota                                                  Tambah Bantuan                                                  Komoditas yang diusahakan                                                                                                   Input Jenis Kelompok                                                   Ubah                                                  Hapus</t>
  </si>
  <si>
    <t>Kuling</t>
  </si>
  <si>
    <t>Mares Balong                                                                                                                                            Tambah Anggota                                                  Tambah Bantuan                                                  Komoditas yang diusahakan                                                                                                   Input Jenis Kelompok                                                   Ubah                                                  Hapus</t>
  </si>
  <si>
    <t>Ibrahim, HMS.BA</t>
  </si>
  <si>
    <t>Panusak                                                                                                                                            Tambah Anggota                                                  Tambah Bantuan                                                  Komoditas yang diusahakan                                                                                                   Input Jenis Kelompok                                                   Ubah                                                  Hapus</t>
  </si>
  <si>
    <t>Sri Ekawati</t>
  </si>
  <si>
    <t>Sarere Ate                                                                                                                                            Tambah Anggota                                                  Tambah Bantuan                                                  Komoditas yang diusahakan                                                                                                   Input Jenis Kelompok                                                   Ubah                                                  Hapus</t>
  </si>
  <si>
    <t>Bidawan</t>
  </si>
  <si>
    <t>Kamboja                                                                                                                                            Tambah Anggota                                                  Tambah Bantuan                                                  Komoditas yang diusahakan                                                                                                   Input Jenis Kelompok                                                   Ubah                                                  Hapus</t>
  </si>
  <si>
    <t>Alfian</t>
  </si>
  <si>
    <t>Sagena indah I                                                                                                                                            Tambah Anggota                                                  Tambah Bantuan                                                  Komoditas yang diusahakan                                                                                                   Input Jenis Kelompok                                                   Ubah                                                  Hapus</t>
  </si>
  <si>
    <t>Sagena Indah II                                                                                                                                            Tambah Anggota                                                  Tambah Bantuan                                                  Komoditas yang diusahakan                                                                                                   Input Jenis Kelompok                                                   Ubah                                                  Hapus</t>
  </si>
  <si>
    <t>Susah Maras                                                                                                                                            Tambah Anggota                                                  Tambah Bantuan                                                  Komoditas yang diusahakan                                                                                                   Input Jenis Kelompok                                                   Ubah                                                  Hapus</t>
  </si>
  <si>
    <t>Lukman S</t>
  </si>
  <si>
    <t>Angan No Putes                                                                                                                                            Tambah Anggota                                                  Tambah Bantuan                                                  Komoditas yang diusahakan                                                                                                   Input Jenis Kelompok                                                   Ubah                                                  Hapus</t>
  </si>
  <si>
    <t>Abd. Rahman</t>
  </si>
  <si>
    <t>Sinar Kiantar                                                                                                                                            Tambah Anggota                                                  Tambah Bantuan                                                  Komoditas yang diusahakan                                                                                                   Input Jenis Kelompok                                                   Ubah                                                  Hapus</t>
  </si>
  <si>
    <t>Sabi Said</t>
  </si>
  <si>
    <t>Ai Jemplung                                                                                                                                            Tambah Anggota                                                  Tambah Bantuan                                                  Komoditas yang diusahakan                                                                                                   Input Jenis Kelompok                                                   Ubah                                                  Hapus</t>
  </si>
  <si>
    <t>H. Sudirman</t>
  </si>
  <si>
    <t>Labu Pabanang Unter                                                                                                                                            Tambah Anggota                                                  Tambah Bantuan                                                  Komoditas yang diusahakan                                                                                                   Input Jenis Kelompok                                                   Ubah                                                  Hapus</t>
  </si>
  <si>
    <t>Batu Dongkong                                                                                                                                            Tambah Anggota                                                  Tambah Bantuan                                                  Komoditas yang diusahakan                                                                                                   Input Jenis Kelompok                                                   Ubah                                                  Hapus</t>
  </si>
  <si>
    <t>Jalaluddin</t>
  </si>
  <si>
    <t>Sate Maju                                                                                                                                             Tambah Anggota                                                  Tambah Bantuan                                                  Komoditas yang diusahakan                                                                                                   Input Jenis Kelompok                                                   Ubah                                                  Hapus</t>
  </si>
  <si>
    <t>H. Junaidi HS</t>
  </si>
  <si>
    <t>Samsun HJ</t>
  </si>
  <si>
    <t>Semangat Baru                                                                                                                                             Tambah Anggota                                                  Tambah Bantuan                                                  Komoditas yang diusahakan                                                                                                   Input Jenis Kelompok                                                   Ubah                                                  Hapus</t>
  </si>
  <si>
    <t>Tamrin</t>
  </si>
  <si>
    <t>Suka Maju                                                                                                                                            Tambah Anggota                                                  Tambah Bantuan                                                  Komoditas yang diusahakan                                                                                                   Input Jenis Kelompok                                                   Ubah                                                  Hapus</t>
  </si>
  <si>
    <t>Syarifuddin</t>
  </si>
  <si>
    <t>Alam Subur II                                                                                                                                            Tambah Anggota                                                  Tambah Bantuan                                                  Komoditas yang diusahakan                                                                                                   Input Jenis Kelompok                                                   Ubah                                                  Hapus</t>
  </si>
  <si>
    <t>A. Muin</t>
  </si>
  <si>
    <t>Cinta Damai                                                                                                                                            Tambah Anggota                                                  Tambah Bantuan                                                  Komoditas yang diusahakan                                                                                                   Input Jenis Kelompok                                                   Ubah                                                  Hapus</t>
  </si>
  <si>
    <t>Zainudin Tayub</t>
  </si>
  <si>
    <t>Sekar Group                                                                                                                                            Tambah Anggota                                                  Tambah Bantuan                                                  Komoditas yang diusahakan                                                                                                   Input Jenis Kelompok                                                   Ubah                                                  Hapus</t>
  </si>
  <si>
    <t>Bukit Indah                                                                                                                                            Tambah Anggota                                                  Tambah Bantuan                                                  Komoditas yang diusahakan                                                                                                   Input Jenis Kelompok                                                   Ubah                                                  Hapus</t>
  </si>
  <si>
    <t>H. Makbul</t>
  </si>
  <si>
    <t>Masi Sate I                                                                                                                                            Tambah Anggota                                                  Tambah Bantuan                                                  Komoditas yang diusahakan                                                                                                   Input Jenis Kelompok                                                   Ubah                                                  Hapus</t>
  </si>
  <si>
    <t>Bakhtiyar HM</t>
  </si>
  <si>
    <t>Masi Sate II                                                                                                                                            Tambah Anggota                                                  Tambah Bantuan                                                  Komoditas yang diusahakan                                                                                                   Input Jenis Kelompok                                                   Ubah                                                  Hapus</t>
  </si>
  <si>
    <t>M. Arifin SAP</t>
  </si>
  <si>
    <t>Tari Jangi                                                                                                                                            Tambah Anggota                                                  Tambah Bantuan                                                  Komoditas yang diusahakan                                                                                                   Input Jenis Kelompok                                                   Ubah                                                  Hapus</t>
  </si>
  <si>
    <t>Herianti, S.Pd</t>
  </si>
  <si>
    <t>Sudarli, HS., S.AP</t>
  </si>
  <si>
    <t>Cempaka                                                                                                                                            Tambah Anggota                                                  Tambah Bantuan                                                  Komoditas yang diusahakan                                                                                                   Input Jenis Kelompok                                                   Ubah                                                  Hapus</t>
  </si>
  <si>
    <t>Indra Kusuma</t>
  </si>
  <si>
    <t>Senap semu                                                                                                                                            Tambah Anggota                                                  Tambah Bantuan                                                  Komoditas yang diusahakan                                                                                                   Input Jenis Kelompok                                                   Ubah                                                  Hapus</t>
  </si>
  <si>
    <t>Nurdin</t>
  </si>
  <si>
    <t>Saling Angkat                                                                                                                                            Tambah Anggota                                                  Tambah Bantuan                                                  Komoditas yang diusahakan                                                                                                   Input Jenis Kelompok                                                   Ubah                                                  Hapus</t>
  </si>
  <si>
    <t>Ai  Boro                                                                                                                                            Tambah Anggota                                                  Tambah Bantuan                                                  Komoditas yang diusahakan                                                                                                   Input Jenis Kelompok                                                   Ubah                                                  Hapus</t>
  </si>
  <si>
    <t>M. Saleh</t>
  </si>
  <si>
    <t>Kuber Kolo                                                                                                                                            Tambah Anggota                                                  Tambah Bantuan                                                  Komoditas yang diusahakan                                                                                                   Input Jenis Kelompok                                                   Ubah                                                  Hapus</t>
  </si>
  <si>
    <t>Ahmad Kadir</t>
  </si>
  <si>
    <t>Harapan Baru                                                                                                                                            Tambah Anggota                                                  Tambah Bantuan                                                  Komoditas yang diusahakan                                                                                                   Input Jenis Kelompok                                                   Ubah                                                  Hapus</t>
  </si>
  <si>
    <t>Hemad Amin</t>
  </si>
  <si>
    <t>Pulau Dua                                                                                                                                            Tambah Anggota                                                  Tambah Bantuan                                                  Komoditas yang diusahakan                                                                                                   Input Jenis Kelompok                                                   Ubah                                                  Hapus</t>
  </si>
  <si>
    <t>Jamaluddin</t>
  </si>
  <si>
    <t>Nanga Biru                                                                                                                                            Tambah Anggota                                                  Tambah Bantuan                                                  Komoditas yang diusahakan                                                                                                   Input Jenis Kelompok                                                   Ubah                                                  Hapus</t>
  </si>
  <si>
    <t>Zainuddin</t>
  </si>
  <si>
    <t>Sinar Bangka bella                                                                                                                                            Tambah Anggota                                                  Tambah Bantuan                                                  Komoditas yang diusahakan                                                                                                   Input Jenis Kelompok                                                   Ubah                                                  Hapus</t>
  </si>
  <si>
    <t>Andi Azis</t>
  </si>
  <si>
    <t>Sinar Maronge                                                                                                                                            Tambah Anggota                                                  Tambah Bantuan                                                  Komoditas yang diusahakan                                                                                                   Input Jenis Kelompok                                                   Ubah                                                  Hapus</t>
  </si>
  <si>
    <t>Jamratul</t>
  </si>
  <si>
    <t>H. Abd. Hamid</t>
  </si>
  <si>
    <t>Pendi Aku                                                                                                                                            Tambah Anggota                                                  Tambah Bantuan                                                  Komoditas yang diusahakan                                                                                                   Input Jenis Kelompok                                                   Ubah                                                  Hapus</t>
  </si>
  <si>
    <t>Prayu Ate                                                                                                                                            Tambah Anggota                                                  Tambah Bantuan                                                  Komoditas yang diusahakan                                                                                                   Input Jenis Kelompok                                                   Ubah                                                  Hapus</t>
  </si>
  <si>
    <t>A. Wahab</t>
  </si>
  <si>
    <t>Cahaya Kapuri                                                                                                                                            Tambah Anggota                                                  Tambah Bantuan                                                  Komoditas yang diusahakan                                                                                                   Input Jenis Kelompok                                                   Ubah                                                  Hapus</t>
  </si>
  <si>
    <t>Samra</t>
  </si>
  <si>
    <t>Satutu Leng                                                                                                                                            Tambah Anggota                                                  Tambah Bantuan                                                  Komoditas yang diusahakan                                                                                                   Input Jenis Kelompok                                                   Ubah                                                  Hapus</t>
  </si>
  <si>
    <t>Saparuddin HB</t>
  </si>
  <si>
    <t>Kenangan                                                                                                                                            Tambah Anggota                                                  Tambah Bantuan                                                  Komoditas yang diusahakan                                                                                                   Input Jenis Kelompok                                                   Ubah                                                  Hapus</t>
  </si>
  <si>
    <t>M. Tahir</t>
  </si>
  <si>
    <t>Sinar Sridene                                                                                                                                            Tambah Anggota                                                  Tambah Bantuan                                                  Komoditas yang diusahakan                                                                                                   Input Jenis Kelompok                                                   Ubah                                                  Hapus</t>
  </si>
  <si>
    <t>Siti Mina</t>
  </si>
  <si>
    <t>Totang Rasa                                                                                                                                            Tambah Anggota                                                  Tambah Bantuan                                                  Komoditas yang diusahakan                                                                                                   Input Jenis Kelompok                                                   Ubah                                                  Hapus</t>
  </si>
  <si>
    <t>Saparuddin HA</t>
  </si>
  <si>
    <t>Ai  Raras                                                                                                                                            Tambah Anggota                                                  Tambah Bantuan                                                  Komoditas yang diusahakan                                                                                                   Input Jenis Kelompok                                                   Ubah                                                  Hapus</t>
  </si>
  <si>
    <t>Ai Kolang                                                                                                                                            Tambah Anggota                                                  Tambah Bantuan                                                  Komoditas yang diusahakan                                                                                                   Input Jenis Kelompok                                                   Ubah                                                  Hapus</t>
  </si>
  <si>
    <t>A. Majid HS</t>
  </si>
  <si>
    <t>Ai Kamina                                                                                                                                            Tambah Anggota                                                  Tambah Bantuan                                                  Komoditas yang diusahakan                                                                                                   Input Jenis Kelompok                                                   Ubah                                                  Hapus</t>
  </si>
  <si>
    <t>Zakariah Icing</t>
  </si>
  <si>
    <t>Brang Koe                                                                                                                                            Tambah Anggota                                                  Tambah Bantuan                                                  Komoditas yang diusahakan                                                                                                   Input Jenis Kelompok                                                   Ubah                                                  Hapus</t>
  </si>
  <si>
    <t>Ai Ngare                                                                                                                                            Tambah Anggota                                                  Tambah Bantuan                                                  Komoditas yang diusahakan                                                                                                   Input Jenis Kelompok                                                   Ubah                                                  Hapus</t>
  </si>
  <si>
    <t>Sabur S.AP</t>
  </si>
  <si>
    <t>Sakiki Rara                                                                                                                                            Tambah Anggota                                                  Tambah Bantuan                                                  Komoditas yang diusahakan                                                                                                   Input Jenis Kelompok                                                   Ubah                                                  Hapus</t>
  </si>
  <si>
    <t>A. Rahman H Acim</t>
  </si>
  <si>
    <t>Alam Hijau                                                                                                                                            Tambah Anggota                                                  Tambah Bantuan                                                  Komoditas yang diusahakan                                                                                                   Input Jenis Kelompok                                                   Ubah                                                  Hapus</t>
  </si>
  <si>
    <t>Rudi Rasid</t>
  </si>
  <si>
    <t>Datar Baruta                                                                                                                                            Tambah Anggota                                                  Tambah Bantuan                                                  Komoditas yang diusahakan                                                                                                   Input Jenis Kelompok                                                   Ubah                                                  Hapus</t>
  </si>
  <si>
    <t>Hasanuddin</t>
  </si>
  <si>
    <t>Saling Satotang                                                                                                                                            Tambah Anggota                                                  Tambah Bantuan                                                  Komoditas yang diusahakan                                                                                                   Input Jenis Kelompok                                                   Ubah                                                  Hapus</t>
  </si>
  <si>
    <t>Saling Pendi                                                                                                                                            Tambah Anggota                                                  Tambah Bantuan                                                  Komoditas yang diusahakan                                                                                                   Input Jenis Kelompok                                                   Ubah                                                  Hapus</t>
  </si>
  <si>
    <t>Sulaiman</t>
  </si>
  <si>
    <t>Samsuddin</t>
  </si>
  <si>
    <t>Unter Sarean                                                                                                                                            Tambah Anggota                                                  Tambah Bantuan                                                  Komoditas yang diusahakan                                                                                                   Input Jenis Kelompok                                                   Ubah                                                  Hapus</t>
  </si>
  <si>
    <t>Ahmad Daud</t>
  </si>
  <si>
    <t>Tunas Harapan                                                                                                                                            Tambah Anggota                                                  Tambah Bantuan                                                  Komoditas yang diusahakan                                                                                                   Input Jenis Kelompok                                                   Ubah                                                  Hapus</t>
  </si>
  <si>
    <t>Sahidi</t>
  </si>
  <si>
    <t>Syamsul Hidayat</t>
  </si>
  <si>
    <t>Tekad Maju                                                                                                                                            Tambah Anggota                                                  Tambah Bantuan                                                  Komoditas yang diusahakan                                                                                                   Input Jenis Kelompok                                                   Ubah                                                  Hapus</t>
  </si>
  <si>
    <t>Suhardi</t>
  </si>
  <si>
    <t>Olat Sare                                                                                                                                            Tambah Anggota                                                  Tambah Bantuan                                                  Komoditas yang diusahakan                                                                                                   Input Jenis Kelompok                                                   Ubah                                                  Hapus</t>
  </si>
  <si>
    <t>Yuliana</t>
  </si>
  <si>
    <t>Supiati</t>
  </si>
  <si>
    <t>LKD Sasai Ate                                                                                                                                            Tambah Anggota                                                  Tambah Bantuan                                                  Komoditas yang diusahakan                                                                                                   Input Jenis Kelompok                                                   Ubah                                                  Hapus</t>
  </si>
  <si>
    <t>H. Jamaluddin</t>
  </si>
  <si>
    <t>Harapan Bersama                                                                                                                                            Tambah Anggota                                                  Tambah Bantuan                                                  Komoditas yang diusahakan                                                                                                   Input Jenis Kelompok                                                   Ubah                                                  Hapus</t>
  </si>
  <si>
    <t>Padang Hijau                                                                                                                                            Tambah Anggota                                                  Tambah Bantuan                                                  Komoditas yang diusahakan                                                                                                   Input Jenis Kelompok                                                   Ubah                                                  Hapus</t>
  </si>
  <si>
    <t>A. Yani</t>
  </si>
  <si>
    <t>Moh. Saleh</t>
  </si>
  <si>
    <t>Olat Dara II                                                                                                                                            Tambah Anggota                                                  Tambah Bantuan                                                  Komoditas yang diusahakan                                                                                                   Input Jenis Kelompok                                                   Ubah                                                  Hapus</t>
  </si>
  <si>
    <t>Ai Lawang II                                                                                                                                            Tambah Anggota                                                  Tambah Bantuan                                                  Komoditas yang diusahakan                                                                                                   Input Jenis Kelompok                                                   Ubah                                                  Hapus</t>
  </si>
  <si>
    <t>H. Mursidi</t>
  </si>
  <si>
    <t>Ai Olat                                                                                                                                            Tambah Anggota                                                  Tambah Bantuan                                                  Komoditas yang diusahakan                                                                                                   Input Jenis Kelompok                                                   Ubah                                                  Hapus</t>
  </si>
  <si>
    <t>Burhanuddin</t>
  </si>
  <si>
    <t>Bukit Indah II                                                                                                                                            Tambah Anggota                                                  Tambah Bantuan                                                  Komoditas yang diusahakan                                                                                                   Input Jenis Kelompok                                                   Ubah                                                  Hapus</t>
  </si>
  <si>
    <t>Ai Barereng                                                                                                                                            Tambah Anggota                                                  Tambah Bantuan                                                  Komoditas yang diusahakan                                                                                                   Input Jenis Kelompok                                                   Ubah                                                  Hapus</t>
  </si>
  <si>
    <t>Abdul Haris</t>
  </si>
  <si>
    <t>Mansyur</t>
  </si>
  <si>
    <t>Ai Batu Lebuk                                                                                                                                            Tambah Anggota                                                  Tambah Bantuan                                                  Komoditas yang diusahakan                                                                                                   Input Jenis Kelompok                                                   Ubah                                                  Hapus</t>
  </si>
  <si>
    <t>Abdul Wahab</t>
  </si>
  <si>
    <t>Bukit Dilis                                                                                                                                            Tambah Anggota                                                  Tambah Bantuan                                                  Komoditas yang diusahakan                                                                                                   Input Jenis Kelompok                                                   Ubah                                                  Hapus</t>
  </si>
  <si>
    <t>Doni Karsono</t>
  </si>
  <si>
    <t>Ai Sampeo                                                                                                                                            Tambah Anggota                                                  Tambah Bantuan                                                  Komoditas yang diusahakan                                                                                                   Input Jenis Kelompok                                                   Ubah                                                  Hapus</t>
  </si>
  <si>
    <t>H.Saraf Seman</t>
  </si>
  <si>
    <t>Lawang Saketeng                                                                                                                                            Tambah Anggota                                                  Tambah Bantuan                                                  Komoditas yang diusahakan                                                                                                   Input Jenis Kelompok                                                   Ubah                                                  Hapus</t>
  </si>
  <si>
    <t>Sudarmono</t>
  </si>
  <si>
    <t>Orong Desa                                                                                                                                            Tambah Anggota                                                  Tambah Bantuan                                                  Komoditas yang diusahakan                                                                                                   Input Jenis Kelompok                                                   Ubah                                                  Hapus</t>
  </si>
  <si>
    <t>Sanapiah Pato</t>
  </si>
  <si>
    <t>Saling Pendi II                                                                                                                                            Tambah Anggota                                                  Tambah Bantuan                                                  Komoditas yang diusahakan                                                                                                   Input Jenis Kelompok                                                   Ubah                                                  Hapus</t>
  </si>
  <si>
    <t>Muhammad Ali</t>
  </si>
  <si>
    <t>Ai Orong                                                                                                                                            Tambah Anggota                                                  Tambah Bantuan                                                  Komoditas yang diusahakan                                                                                                   Input Jenis Kelompok                                                   Ubah                                                  Hapus</t>
  </si>
  <si>
    <t>Hasan Basri</t>
  </si>
  <si>
    <t>Ai Rantok                                                                                                                                            Tambah Anggota                                                  Tambah Bantuan                                                  Komoditas yang diusahakan                                                                                                   Input Jenis Kelompok                                                   Ubah                                                  Hapus</t>
  </si>
  <si>
    <t>Yadnyasari II                                                                                                                                            Tambah Anggota                                                  Tambah Bantuan                                                  Komoditas yang diusahakan                                                                                                   Input Jenis Kelompok                                                   Ubah                                                  Hapus</t>
  </si>
  <si>
    <t>Muhammad</t>
  </si>
  <si>
    <t>Lemak Jati                                                                                                                                            Tambah Anggota                                                  Tambah Bantuan                                                  Komoditas yang diusahakan                                                                                                   Input Jenis Kelompok                                                   Ubah                                                  Hapus</t>
  </si>
  <si>
    <t>Darwin</t>
  </si>
  <si>
    <t>Ai Mante                                                                                                                                            Tambah Anggota                                                  Tambah Bantuan                                                  Komoditas yang diusahakan                                                                                                   Input Jenis Kelompok                                                   Ubah                                                  Hapus</t>
  </si>
  <si>
    <t>Senap Semu                                                                                                                                            Tambah Anggota                                                  Tambah Bantuan                                                  Komoditas yang diusahakan                                                                                                   Input Jenis Kelompok                                                   Ubah                                                  Hapus</t>
  </si>
  <si>
    <t>Abdurrahman</t>
  </si>
  <si>
    <t>Jorok Kaset                                                                                                                                            Tambah Anggota                                                  Tambah Bantuan                                                  Komoditas yang diusahakan                                                                                                   Input Jenis Kelompok                                                   Ubah                                                  Hapus</t>
  </si>
  <si>
    <t>Muhammad Arifin</t>
  </si>
  <si>
    <t>Lawang Desa                                                                                                                                            Tambah Anggota                                                  Tambah Bantuan                                                  Komoditas yang diusahakan                                                                                                   Input Jenis Kelompok                                                   Ubah                                                  Hapus</t>
  </si>
  <si>
    <t>Kasem</t>
  </si>
  <si>
    <t>Kuang Rea                                                                                                                                            Tambah Anggota                                                  Tambah Bantuan                                                  Komoditas yang diusahakan                                                                                                   Input Jenis Kelompok                                                   Ubah                                                  Hapus</t>
  </si>
  <si>
    <t>Sopian Hadi</t>
  </si>
  <si>
    <t>Sumer Loka                                                                                                                                            Tambah Anggota                                                  Tambah Bantuan                                                  Komoditas yang diusahakan                                                                                                   Input Jenis Kelompok                                                   Ubah                                                  Hapus</t>
  </si>
  <si>
    <t>Zaeddun</t>
  </si>
  <si>
    <t>Unter pasi                                                                                                                                            Tambah Anggota                                                  Tambah Bantuan                                                  Komoditas yang diusahakan                                                                                                   Input Jenis Kelompok                                                   Ubah                                                  Hapus</t>
  </si>
  <si>
    <t>Supardi</t>
  </si>
  <si>
    <t>Ai Rawa                                                                                                                                            Tambah Anggota                                                  Tambah Bantuan                                                  Komoditas yang diusahakan                                                                                                   Input Jenis Kelompok                                                   Ubah                                                  Hapus</t>
  </si>
  <si>
    <t>Kokar Tampe                                                                                                                                            Tambah Anggota                                                  Tambah Bantuan                                                  Komoditas yang diusahakan                                                                                                   Input Jenis Kelompok                                                   Ubah                                                  Hapus</t>
  </si>
  <si>
    <t>Olat Dara                                                                                                                                            Tambah Anggota                                                  Tambah Bantuan                                                  Komoditas yang diusahakan                                                                                                   Input Jenis Kelompok                                                   Ubah                                                  Hapus</t>
  </si>
  <si>
    <t>I Wayan Swarsana</t>
  </si>
  <si>
    <t>Paloma Makmur                                                                                                                                            Tambah Anggota                                                  Tambah Bantuan                                                  Komoditas yang diusahakan                                                                                                   Input Jenis Kelompok                                                   Ubah                                                  Hapus</t>
  </si>
  <si>
    <t>Hadi Sucipto</t>
  </si>
  <si>
    <t>Sate Maju                                                                                                                                            Tambah Anggota                                                  Tambah Bantuan                                                  Komoditas yang diusahakan                                                                                                   Input Jenis Kelompok                                                   Ubah                                                  Hapus</t>
  </si>
  <si>
    <t>Samsun</t>
  </si>
  <si>
    <t>Orong Ibus                                                                                                                                            Tambah Anggota                                                  Tambah Bantuan                                                  Komoditas yang diusahakan                                                                                                   Input Jenis Kelompok                                                   Ubah                                                  Hapus</t>
  </si>
  <si>
    <t>Kursawat</t>
  </si>
  <si>
    <t>Ai Taruma                                                                                                                                            Tambah Anggota                                                  Tambah Bantuan                                                  Komoditas yang diusahakan                                                                                                   Input Jenis Kelompok                                                   Ubah                                                  Hapus</t>
  </si>
  <si>
    <t>Timur Yati</t>
  </si>
  <si>
    <t>Tua Nanga Mandiri                                                                                                                                            Tambah Anggota                                                  Tambah Bantuan                                                  Komoditas yang diusahakan                                                                                                   Input Jenis Kelompok                                                   Ubah                                                  Hapus</t>
  </si>
  <si>
    <t>Sulkifli</t>
  </si>
  <si>
    <t>Jorok Ai Gamat                                                                                                                                            Tambah Anggota                                                  Tambah Bantuan                                                  Komoditas yang diusahakan                                                                                                   Input Jenis Kelompok                                                   Ubah                                                  Hapus</t>
  </si>
  <si>
    <t>Zakariah HS</t>
  </si>
  <si>
    <t>Boron Ngolont                                                                                                                                            Tambah Anggota                                                  Tambah Bantuan                                                  Komoditas yang diusahakan                                                                                                   Input Jenis Kelompok                                                   Ubah                                                  Hapus</t>
  </si>
  <si>
    <t>Rusdi</t>
  </si>
  <si>
    <t>Saling Sakiki                                                                                                                                            Tambah Anggota                                                  Tambah Bantuan                                                  Komoditas yang diusahakan                                                                                                   Input Jenis Kelompok                                                   Ubah                                                  Hapus</t>
  </si>
  <si>
    <t>Mahsus</t>
  </si>
  <si>
    <t>Buin Notis                                                                                                                                            Tambah Anggota                                                  Tambah Bantuan                                                  Komoditas yang diusahakan                                                                                                   Input Jenis Kelompok                                                   Ubah                                                  Hapus</t>
  </si>
  <si>
    <t>Tengkal Telutu                                                                                                                                            Tambah Anggota                                                  Tambah Bantuan                                                  Komoditas yang diusahakan                                                                                                   Input Jenis Kelompok                                                   Ubah                                                  Hapus</t>
  </si>
  <si>
    <t>Desa Mantar Kec. Poto Tano</t>
  </si>
  <si>
    <t>Sukarno</t>
  </si>
  <si>
    <t>Cahaya Baru                                                                                                                                            Tambah Anggota                                                  Tambah Bantuan                                                  Komoditas yang diusahakan                                                                                                   Input Jenis Kelompok                                                   Ubah                                                  Hapus</t>
  </si>
  <si>
    <t>Ketut Sada</t>
  </si>
  <si>
    <t>Nusa Damai                                                                                                                                            Tambah Anggota                                                  Tambah Bantuan                                                  Komoditas yang diusahakan                                                                                                   Input Jenis Kelompok                                                   Ubah                                                  Hapus</t>
  </si>
  <si>
    <t>I Wayan Kasta</t>
  </si>
  <si>
    <t>Budisari III                                                                                                                                            Tambah Anggota                                                  Tambah Bantuan                                                  Komoditas yang diusahakan                                                                                                   Input Jenis Kelompok                                                   Ubah                                                  Hapus</t>
  </si>
  <si>
    <t>Batu Guring                                                                                                                                            Tambah Anggota                                                  Tambah Bantuan                                                  Komoditas yang diusahakan                                                                                                   Input Jenis Kelompok                                                   Ubah                                                  Hapus</t>
  </si>
  <si>
    <t>Kiswanto</t>
  </si>
  <si>
    <t>Balong Pariri                                                                                                                                            Tambah Anggota                                                  Tambah Bantuan                                                  Komoditas yang diusahakan                                                                                                   Input Jenis Kelompok                                                   Ubah                                                  Hapus</t>
  </si>
  <si>
    <t>Bahtiyar HMY</t>
  </si>
  <si>
    <t>Alam Subur                                                                                                                                            Tambah Anggota                                                  Tambah Bantuan                                                  Komoditas yang diusahakan                                                                                                   Input Jenis Kelompok                                                   Ubah                                                  Hapus</t>
  </si>
  <si>
    <t>Abdullah</t>
  </si>
  <si>
    <t>Muda Bersaing                                                                                                                                            Tambah Anggota                                                  Tambah Bantuan                                                  Komoditas yang diusahakan                                                                                                   Input Jenis Kelompok                                                   Ubah                                                  Hapus</t>
  </si>
  <si>
    <t>Sinar Tani                                                                                                                                            Tambah Anggota                                                  Tambah Bantuan                                                  Komoditas yang diusahakan                                                                                                   Input Jenis Kelompok                                                   Ubah                                                  Hapus</t>
  </si>
  <si>
    <t>Herlina</t>
  </si>
  <si>
    <t>Syamsul Lutfi</t>
  </si>
  <si>
    <t>Harapan Suci                                                                                                                                            Tambah Anggota                                                  Tambah Bantuan                                                  Komoditas yang diusahakan                                                                                                   Input Jenis Kelompok                                                   Ubah                                                  Hapus</t>
  </si>
  <si>
    <t>Usaha Baru                                                                                                                                            Tambah Anggota                                                  Tambah Bantuan                                                  Komoditas yang diusahakan                                                                                                   Input Jenis Kelompok                                                   Ubah                                                  Hapus</t>
  </si>
  <si>
    <t>Heriansyah</t>
  </si>
  <si>
    <t>Kaharuddin</t>
  </si>
  <si>
    <t>Satutu Niat                                                                                                                                            Tambah Anggota                                                  Tambah Bantuan                                                  Komoditas yang diusahakan                                                                                                   Input Jenis Kelompok                                                   Ubah                                                  Hapus</t>
  </si>
  <si>
    <t>Bambang Hermanto</t>
  </si>
  <si>
    <t>Ai Jorok                                                                                                                                            Tambah Anggota                                                  Tambah Bantuan                                                  Komoditas yang diusahakan                                                                                                   Input Jenis Kelompok                                                   Ubah                                                  Hapus</t>
  </si>
  <si>
    <t>Hudari</t>
  </si>
  <si>
    <t>Sadariah</t>
  </si>
  <si>
    <t>Baiq Kartini</t>
  </si>
  <si>
    <t>KWT Mekar                                                                                                                                            Tambah Anggota                                                  Tambah Bantuan                                                  Komoditas yang diusahakan                                                                                                   Input Jenis Kelompok                                                   Ubah                                                  Hapus</t>
  </si>
  <si>
    <t>Ai Papak                                                                                                                                            Tambah Anggota                                                  Tambah Bantuan                                                  Komoditas yang diusahakan                                                                                                   Input Jenis Kelompok                                                   Ubah                                                  Hapus</t>
  </si>
  <si>
    <t>Sul Bahri</t>
  </si>
  <si>
    <t>Andi Ari</t>
  </si>
  <si>
    <t>Bukit Tinggi                                                                                                                                            Tambah Anggota                                                  Tambah Bantuan                                                  Komoditas yang diusahakan                                                                                                   Input Jenis Kelompok                                                   Ubah                                                  Hapus</t>
  </si>
  <si>
    <t>Tengkal Tebo                                                                                                                                            Tambah Anggota                                                  Tambah Bantuan                                                  Komoditas yang diusahakan                                                                                                   Input Jenis Kelompok                                                   Ubah                                                  Hapus</t>
  </si>
  <si>
    <t>Mustaram</t>
  </si>
  <si>
    <t>Jorok Mata Malam                                                                                                                                            Tambah Anggota                                                  Tambah Bantuan                                                  Komoditas yang diusahakan                                                                                                   Input Jenis Kelompok                                                   Ubah                                                  Hapus</t>
  </si>
  <si>
    <t>Zakaria H.Salim</t>
  </si>
  <si>
    <t>Parenteng                                                                                                                                            Tambah Anggota                                                  Tambah Bantuan                                                  Komoditas yang diusahakan                                                                                                   Input Jenis Kelompok                                                   Ubah                                                  Hapus</t>
  </si>
  <si>
    <t>Suhardiman</t>
  </si>
  <si>
    <t>Ramli</t>
  </si>
  <si>
    <t>Saling Pariri                                                                                                                                            Tambah Anggota                                                  Tambah Bantuan                                                  Komoditas yang diusahakan                                                                                                   Input Jenis Kelompok                                                   Ubah                                                  Hapus</t>
  </si>
  <si>
    <t>Asmono</t>
  </si>
  <si>
    <t>Orong Baruta                                                                                                                                            Tambah Anggota                                                  Tambah Bantuan                                                  Komoditas yang diusahakan                                                                                                   Input Jenis Kelompok                                                   Ubah                                                  Hapus</t>
  </si>
  <si>
    <t>Manyur</t>
  </si>
  <si>
    <t>Orong Sabit                                                                                                                                            Tambah Anggota                                                  Tambah Bantuan                                                  Komoditas yang diusahakan                                                                                                   Input Jenis Kelompok                                                   Ubah                                                  Hapus</t>
  </si>
  <si>
    <t>Tani Subur                                                                                                                                            Tambah Anggota                                                  Tambah Bantuan                                                  Komoditas yang diusahakan                                                                                                   Input Jenis Kelompok                                                   Ubah                                                  Hapus</t>
  </si>
  <si>
    <t>Sudario</t>
  </si>
  <si>
    <t>Mantar Indah                                                                                                                                            Tambah Anggota                                                  Tambah Bantuan                                                  Komoditas yang diusahakan                                                                                                   Input Jenis Kelompok                                                   Ubah                                                  Hapus</t>
  </si>
  <si>
    <t>Sahabuddin</t>
  </si>
  <si>
    <t>Lenang Rangala                                                                                                                                            Tambah Anggota                                                  Tambah Bantuan                                                  Komoditas yang diusahakan                                                                                                   Input Jenis Kelompok                                                   Ubah                                                  Hapus</t>
  </si>
  <si>
    <t>Bambang</t>
  </si>
  <si>
    <t>Lengkok Pabara                                                                                                                                            Tambah Anggota                                                  Tambah Bantuan                                                  Komoditas yang diusahakan                                                                                                   Input Jenis Kelompok                                                   Ubah                                                  Hapus</t>
  </si>
  <si>
    <t>Tengkal Baban                                                                                                                                            Tambah Anggota                                                  Tambah Bantuan                                                  Komoditas yang diusahakan                                                                                                   Input Jenis Kelompok                                                   Ubah                                                  Hapus</t>
  </si>
  <si>
    <t>Jufriadi</t>
  </si>
  <si>
    <t>Jorok Kaset II                                                                                                                                            Tambah Anggota                                                  Tambah Bantuan                                                  Komoditas yang diusahakan                                                                                                   Input Jenis Kelompok                                                   Ubah                                                  Hapus</t>
  </si>
  <si>
    <t>Subur Jaya                                                                                                                                            Tambah Anggota                                                  Tambah Bantuan                                                  Komoditas yang diusahakan                                                                                                   Input Jenis Kelompok                                                   Ubah                                                  Hapus</t>
  </si>
  <si>
    <t>Mahsun</t>
  </si>
  <si>
    <t>Sabirillah</t>
  </si>
  <si>
    <t>Basaruddin</t>
  </si>
  <si>
    <t>Rustam</t>
  </si>
  <si>
    <t>Virginia Harapan Jaya                                                                                                                                            Tambah Anggota                                                  Tambah Bantuan                                                  Komoditas yang diusahakan                                                                                                   Input Jenis Kelompok                                                   Ubah                                                  Hapus</t>
  </si>
  <si>
    <t>Hamza</t>
  </si>
  <si>
    <t>Tua Galumpang                                                                                                                                            Tambah Anggota                                                  Tambah Bantuan                                                  Komoditas yang diusahakan                                                                                                   Input Jenis Kelompok                                                   Ubah                                                  Hapus</t>
  </si>
  <si>
    <t>Bali Amanah                                                                                                                                            Tambah Anggota                                                  Tambah Bantuan                                                  Komoditas yang diusahakan                                                                                                   Input Jenis Kelompok                                                   Ubah                                                  Hapus</t>
  </si>
  <si>
    <t>M. Zuhri SP</t>
  </si>
  <si>
    <t>Harapan Jaya Agro                                                                                                                                            Tambah Anggota                                                  Tambah Bantuan                                                  Komoditas yang diusahakan                                                                                                   Input Jenis Kelompok                                                   Ubah                                                  Hapus</t>
  </si>
  <si>
    <t>Jumlah Anggota</t>
  </si>
  <si>
    <t>Status Oprasional (Aktif/Tidak Aktif)</t>
  </si>
  <si>
    <t>Komoditas Utama</t>
  </si>
  <si>
    <t>Status Operasional (Aktif/Tidak Aktif)</t>
  </si>
  <si>
    <t>Ibrahim</t>
  </si>
  <si>
    <t xml:space="preserve">Ai lawang                                                                                                                                       Tambah Anggota                                                  Tambah Bantuan                         </t>
  </si>
  <si>
    <t>Al Bidayah                                                                                                                                            Tambah Anggota                                                  Tambah Bantuan                                                  Komoditas yang diusahakan                                                                                                   Input Jenis Kelompok                                                   Ubah                                                  Hapus</t>
  </si>
  <si>
    <t>KWT Melati                                                                                                                                         Tambah Anggota                                                  Tambah Bantuan                                                  Komoditas yang diusahakan                                                                                                   Input Jenis Kelompok                                                   Ubah                                                  Hapus</t>
  </si>
  <si>
    <t>Subali                                                                                                                                            Tambah Anggota                                                  Tambah Bantuan                                                  Komoditas yang diusahakan                                                                                                   Input Jenis Kelompok                                                   Ubah                                                  Hapus</t>
  </si>
  <si>
    <t>Saling sakiki                                                                                                                                            Tambah Anggota                                                  Tambah Bantuan                                                  Komoditas yang diusahakan                                                                                                   Input Jenis Kelompok                                                   Ubah                                                  Hapus</t>
  </si>
  <si>
    <t>Dusun Sagena Desa Kiantar Kec. Poto Tano</t>
  </si>
  <si>
    <t>Majid Hemad</t>
  </si>
  <si>
    <t>Subaeda</t>
  </si>
  <si>
    <t xml:space="preserve">Rizal Perdana P. </t>
  </si>
  <si>
    <t>Supiarno</t>
  </si>
  <si>
    <t>Sabram</t>
  </si>
  <si>
    <t>Susi Susanti</t>
  </si>
  <si>
    <t>M. Zainudin Mansur</t>
  </si>
  <si>
    <t>Kalsum</t>
  </si>
  <si>
    <t>Fatri Murti</t>
  </si>
  <si>
    <t>Deskripisi:</t>
  </si>
  <si>
    <t xml:space="preserve">- Kecamatan Poto Tano memiliki 7 (tujuh) Kelembagaan Gapoktan,  di 7 Desa yang memiliki potensi utama di sektor pertanian, kecuali Desa Poto Tano yang potensi utamanya di sektor perikanan dan kelautan. </t>
  </si>
  <si>
    <t>- Sumber Data : Aplikasi SIMLUHTAN,  Juni 2026; Balai Penyuluhan Pertanian Kecamatan Poto Tano; Dinas Pertanian Kabupaten Sumbawa Barat</t>
  </si>
  <si>
    <t>- Kelompok Tani yang selanjutnya disebut Poktan adalah kumpulan petani/peternak/pekebun yang dibentuk oleh para petani atas dasar kesamaan kepentingan, kesamaan kondisi lingkungan sosial, ekonomi, dan sumberdaya, kesamaan komoditas, dan keakraban untuk meningkatkan dan mengembangkan usaha anggota. (Peraturan Menteri Pertanian Nomor :  67/PERMENTAN/SM.050/12/2016 Tentang Pembinaan Kelembagaan Petani)</t>
  </si>
  <si>
    <t>- Gapoktan (Gabungan Kelompok Tani) adalah kumpulan beberapa Kelompok Tani yang bergabung dan bekerjasama untuk meningkatkan skala ekonomi dan efisiensi usaha. Kelembagaan Petani ditumbuhkembangkan untuk memenuhi kelayakan usaha skala ekonomi dan efisiensi usaha, sehingga berfungsi sebagai unit usaha penyedia sarana dan prasarana produksi, unit Usahatani/produksi, unit usaha pengolahan, unit usaha pemasaran dan unit usaha keuangan mikro (simpan pinjam). Pada tahap pengembangannya, Gapoktan dapat memberikan pelayanan informasi, teknologi, dan permodalan kepada anggotanya serta menjalin kerjasama melalui kemitraan usaha dengan pihak lain. Penggabungan Poktan ke dalam Gapoktan, diharapkan akan menjadikan Kelembagaan Petani yang kuat dan mandiri serta berdaya saing ((Peraturan Menteri Pertanian Nomor :  67/PERMENTAN/SM.050/12/2016 Tentang Pembinaan Kelembagaan Petani)</t>
  </si>
  <si>
    <t xml:space="preserve">- Pengelompokan kelembagaan petani pada umumnya didasarkan pada bidang atau subsektor usaha yang menjadi fokus kegiatan kelompok. Di kecamatan Poto Tano terdapat 182 Poktan yang tersebar di 7 Desa di Kecamatan Poto Tano yang memiliki potensi pertanian. Poktan yang ada merupakan kelompok usaha budidaya pertanian (Tanaman pangan dan Hortikultura), KWT yang umumnya bergerak di bidang pengolahan hasil, dan kelompok usaha peternakan)  </t>
  </si>
  <si>
    <t>Madya</t>
  </si>
  <si>
    <t>Poto Tano</t>
  </si>
  <si>
    <t>Pemula</t>
  </si>
  <si>
    <t>Senayan</t>
  </si>
  <si>
    <t>Kokarlian</t>
  </si>
  <si>
    <t>Tebo</t>
  </si>
  <si>
    <t>Kelas Kelompok</t>
  </si>
  <si>
    <t>Nama Kelompok</t>
  </si>
  <si>
    <t>Desa UPT Tambak Sari Kec. Poto Tano</t>
  </si>
  <si>
    <t>Mantar</t>
  </si>
  <si>
    <t>UPT Tambak Sari</t>
  </si>
  <si>
    <t>Tua Nanga</t>
  </si>
  <si>
    <t>Luas Lahan (M2)</t>
  </si>
  <si>
    <t>SK Pengukuhan</t>
  </si>
  <si>
    <t>DATA KELOMPOK TANI (POKTAN) KECAMATAN POTO TANO TAHUN 2026</t>
  </si>
  <si>
    <t>DATA GABUNGAN KELOMPOK TANI (GAPOKTAN) KECAMATAN  POTO TANO TAHUN 2026</t>
  </si>
  <si>
    <t>Lanjut</t>
  </si>
  <si>
    <t>Jagung</t>
  </si>
  <si>
    <t>-8.588445, 116.83553166666667</t>
  </si>
  <si>
    <t>-8.60397, 116.84600333333334</t>
  </si>
  <si>
    <t>-8.584915, 116.83269666666665</t>
  </si>
  <si>
    <t>-8.591425, 116.84190333333332</t>
  </si>
  <si>
    <t>-8.585445, 116.83670700000001</t>
  </si>
  <si>
    <t xml:space="preserve">-8.57287, 116.847463333333332 </t>
  </si>
  <si>
    <t>-8.609255, 116.85226833333333</t>
  </si>
  <si>
    <t>-8.6150733, 116.8525662</t>
  </si>
  <si>
    <t>-8.582983, 116.831105</t>
  </si>
  <si>
    <t>-8.590275, 116.83659333333331</t>
  </si>
  <si>
    <t>-8.580112, 116.8190623</t>
  </si>
  <si>
    <t>M. Yasin</t>
  </si>
  <si>
    <t>-8.581815, 116.84369999999998</t>
  </si>
  <si>
    <t>-8.5885075, 116.8404171</t>
  </si>
  <si>
    <t>-8.57735, 116.82529833333335</t>
  </si>
  <si>
    <t>-8.6239554, 116.8507255</t>
  </si>
  <si>
    <t>-8.61541, 116.84525166666666</t>
  </si>
  <si>
    <t>Faesal</t>
  </si>
  <si>
    <t>-8.59036, 116.83675833333334</t>
  </si>
  <si>
    <t>Mandru</t>
  </si>
  <si>
    <t>-8.58198, 116.84366166666665</t>
  </si>
  <si>
    <t>-8.5831, 116.831105</t>
  </si>
  <si>
    <t>-8.59509, 116.84141666666667</t>
  </si>
  <si>
    <t>-8.595295, 116.838395</t>
  </si>
  <si>
    <t>-8.609285, 116.85236166666667</t>
  </si>
  <si>
    <t>Hamzah AR</t>
  </si>
  <si>
    <t>Padi</t>
  </si>
  <si>
    <t>-8.62099, 116.85271666666668</t>
  </si>
  <si>
    <t>-8.621035000000001, 116.84726666666666</t>
  </si>
  <si>
    <t>-8.614894999999999, 116.849345</t>
  </si>
  <si>
    <t>-8.61709, 116.85678333333333</t>
  </si>
  <si>
    <t>-8.6181531, 116.8574288</t>
  </si>
  <si>
    <t>-8.6169516666666667, 116.852855</t>
  </si>
  <si>
    <t>-8.619568333333332, 116.84483</t>
  </si>
  <si>
    <t>-8.616885, 116.85311833333331</t>
  </si>
  <si>
    <t>Aktif</t>
  </si>
  <si>
    <t>Hortikultura</t>
  </si>
  <si>
    <t>KWT Melati II                                                                                                                                         Tambah Anggota                                                  Tambah Bantuan                                                  Komoditas yang diusahakan                                                                                                   Input Jenis Kelompok                                                   Ubah                                                  Hapus</t>
  </si>
  <si>
    <t>Hj. Mastur</t>
  </si>
  <si>
    <t>Reny</t>
  </si>
  <si>
    <t>-8.579905, '116.84430166666668</t>
  </si>
  <si>
    <t xml:space="preserve">KWT Melati                                                                                                                                     Tambah Anggota                                                  Tambah Bantuan                           </t>
  </si>
  <si>
    <t>Lokasi / Posisi Koordinat Lahan</t>
  </si>
  <si>
    <t>Tidak Aktif</t>
  </si>
  <si>
    <t>-8.56724333333334, 83902666666667</t>
  </si>
  <si>
    <t>-8.562928333333334, 116.843175</t>
  </si>
  <si>
    <t>-8.56225 I111, '116.84001833333332</t>
  </si>
  <si>
    <t>Ahmad T</t>
  </si>
  <si>
    <t>Mukhlis Topan</t>
  </si>
  <si>
    <t>Ternak Sapi</t>
  </si>
  <si>
    <t xml:space="preserve">Semangat Baru                                                                                                                                             Tambah Anggota                                                  Tambah Bantuan                       </t>
  </si>
  <si>
    <t>Joko M hardianto</t>
  </si>
  <si>
    <t>Simpan Pinjam</t>
  </si>
  <si>
    <t>Simpan_pinjam</t>
  </si>
  <si>
    <t>Saprodi</t>
  </si>
  <si>
    <t xml:space="preserve">Saprodi, simpan pinjam </t>
  </si>
  <si>
    <t xml:space="preserve">Simpan_pinjam  </t>
  </si>
  <si>
    <t>-8.574811666666667, 116.8402166666668</t>
  </si>
  <si>
    <t>-8.570671666666668, 116.84610666666667</t>
  </si>
  <si>
    <t>-8.571215215, 116.84078166666669</t>
  </si>
  <si>
    <t>-8.557801666666668, 116.84184666666667</t>
  </si>
  <si>
    <t>-8.59043, 116.800740</t>
  </si>
  <si>
    <t>'-8.59449,116.7951462</t>
  </si>
  <si>
    <t>'-8.03618, 116.04745</t>
  </si>
  <si>
    <t>Agus M</t>
  </si>
  <si>
    <t>'-8.58819,116.80239,58</t>
  </si>
  <si>
    <t>'-8,581111.116.8156843</t>
  </si>
  <si>
    <t>'-8.58197,116.8139</t>
  </si>
  <si>
    <t>'-8.3614,116.4747</t>
  </si>
  <si>
    <t>'-8.57194, 116.524121</t>
  </si>
  <si>
    <t>'-8036’9’’,116047’18’’,42,</t>
  </si>
  <si>
    <t>Suandy HR</t>
  </si>
  <si>
    <t>'-8.58395,116.8058336</t>
  </si>
  <si>
    <t>'-8.59813,116.8021175</t>
  </si>
  <si>
    <t>'-8.59515,116.7949199</t>
  </si>
  <si>
    <t>M Jamil</t>
  </si>
  <si>
    <t>'-8.59335,116.8056437</t>
  </si>
  <si>
    <t>Arsad HM</t>
  </si>
  <si>
    <t>'-8.58065, 116.8164839</t>
  </si>
  <si>
    <t>Nazaruddin</t>
  </si>
  <si>
    <t>Shofyan</t>
  </si>
  <si>
    <t>Muhammad Dahlan</t>
  </si>
  <si>
    <t>I Nyoman Kadinata</t>
  </si>
  <si>
    <t>I Nyoman Mutra</t>
  </si>
  <si>
    <t>Hortikultura Subur Jaya                                                                                                                                           Tambah Anggota                                                  Tambah Bantuan                                                  Komoditas yang diusahakan                                                                                                   Input Jenis Kelompok                                                   Ubah                                                  Hapus</t>
  </si>
  <si>
    <t>Mustajidian Akbar</t>
  </si>
  <si>
    <t>Nengah Hardika</t>
  </si>
  <si>
    <t xml:space="preserve">Ternak </t>
  </si>
  <si>
    <t>Ternak</t>
  </si>
  <si>
    <t>Palabu Jabas                                                                                                                                            Tambah Anggota                                                  Tambah Bantuan                                                  Komoditas yang diusahakan                                                                                                   Input Jenis Kelompok                                                   Ubah                                                  Hapus</t>
  </si>
  <si>
    <t>Hamzah Gading</t>
  </si>
  <si>
    <t>Palabu Jabas II                                                                                                                                            Tambah Anggota                                                  Tambah Bantuan                                                  Komoditas yang diusahakan                                                                                                   Input Jenis Kelompok                                                   Ubah                                                  Hapus</t>
  </si>
  <si>
    <t>Agus Salim</t>
  </si>
  <si>
    <t>Abdul Wahab HS</t>
  </si>
  <si>
    <t>]-8.61384522, 166.85860798</t>
  </si>
  <si>
    <t>-8.61274451, 116.86232735</t>
  </si>
  <si>
    <t>-8.60263598, 116.86090706</t>
  </si>
  <si>
    <t>-8.61294688, 116.85997122</t>
  </si>
  <si>
    <t>-8.61232394, 116.86252054</t>
  </si>
  <si>
    <t>-8.61323584, 116.86288882</t>
  </si>
  <si>
    <t>-8.60125916, 166.86082983</t>
  </si>
  <si>
    <t>-8.61247876, 116.86238904</t>
  </si>
  <si>
    <t>-8.60631603, 116.86230128</t>
  </si>
  <si>
    <t>-8.59421367, 116.86086383</t>
  </si>
  <si>
    <t>Hery firmanto</t>
  </si>
  <si>
    <t>Hastipan</t>
  </si>
  <si>
    <t>Andi Momang</t>
  </si>
  <si>
    <t>Sukardinata</t>
  </si>
  <si>
    <t>Rudi Saguni</t>
  </si>
  <si>
    <t>Irwan</t>
  </si>
  <si>
    <t>Ai Beru                                                                                                                                            Tambah Anggota                                                  Tambah Bantuan                                                  Komoditas yang diusahakan                                                                                                   Input Jenis Kelompok                                                   Ubah                                                  Hapus</t>
  </si>
  <si>
    <t>Pengolahan Hasil Pertanian</t>
  </si>
  <si>
    <t>Peternakan</t>
  </si>
  <si>
    <t>Peternkan</t>
  </si>
  <si>
    <t>Peternkaan</t>
  </si>
  <si>
    <t>Tanaman Pangan</t>
  </si>
  <si>
    <t>KWT Anggrek                                                                                                                                            Tambah Anggota                                                  Tambah Bantuan                                                  Komoditas yang diusahakan                                                                                                   Input Jenis Kelompok                                                   Ubah                                                  Hapus</t>
  </si>
  <si>
    <t>KWT Sinar Harapan                                                                                                                                            Tambah Anggota                                                  Tambah Bantuan                                                  Komoditas yang diusahakan                                                                                                   Input Jenis Kelompok                                                   Ubah                                                  Hapus</t>
  </si>
  <si>
    <t>- Sumber Data : Aplikasi SIMLUHTAN,  Juni 2026; Balai Penyuluhan Pertanian Kecamatan Poto Tano Dinas Pertanian Kabupaten Sumbawa Barat</t>
  </si>
  <si>
    <t>Tambak Sari</t>
  </si>
  <si>
    <t>Tuananga</t>
  </si>
  <si>
    <t>Tua nanga</t>
  </si>
  <si>
    <t>upt Tambak Sari</t>
  </si>
  <si>
    <t>id Desa</t>
  </si>
  <si>
    <t>jenis kelompok</t>
  </si>
  <si>
    <t>POKTAN</t>
  </si>
  <si>
    <t xml:space="preserve">Mares Gama  </t>
  </si>
  <si>
    <t xml:space="preserve">Ai Gali  </t>
  </si>
  <si>
    <t xml:space="preserve">Unter Pasi II  </t>
  </si>
  <si>
    <t xml:space="preserve">Ingin Maju  </t>
  </si>
  <si>
    <t xml:space="preserve">Amanah Ai Olat  </t>
  </si>
  <si>
    <t xml:space="preserve">Sama Rua  </t>
  </si>
  <si>
    <t xml:space="preserve">Petak Berjaya  </t>
  </si>
  <si>
    <t xml:space="preserve">Nahdathul Wathan  </t>
  </si>
  <si>
    <t xml:space="preserve">Lets Grow  </t>
  </si>
  <si>
    <t xml:space="preserve">KWT Merica Putih  </t>
  </si>
  <si>
    <t xml:space="preserve">Sinar Sarean  </t>
  </si>
  <si>
    <t xml:space="preserve">Talanak  </t>
  </si>
  <si>
    <t xml:space="preserve">Budisari                                                                                                                                            Tambah Anggota                                                  Tambah Bantuan                             </t>
  </si>
  <si>
    <t xml:space="preserve">Bukit Indah                                                                                                                                            Tambah Anggota                                                  Tambah Bantuan                          </t>
  </si>
  <si>
    <t xml:space="preserve">Aris Untung  </t>
  </si>
  <si>
    <t xml:space="preserve">KWT Dikenang  </t>
  </si>
  <si>
    <t xml:space="preserve">Bangka Bela  </t>
  </si>
  <si>
    <t>GAPOKTAN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</si>
</sst>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1"/>
      <name val="Calibri"/>
      <charset val="134"/>
    </font>
    <font>
      <sz val="11"/>
      <name val="Calibri"/>
      <family val="2"/>
    </font>
    <font>
      <b/>
      <sz val="11"/>
      <name val="Bookman Old Style"/>
      <family val="1"/>
    </font>
    <font>
      <sz val="11"/>
      <name val="Bookman Old Style"/>
      <family val="1"/>
    </font>
    <font>
      <b/>
      <sz val="12"/>
      <name val="Bookman Old Style"/>
      <family val="1"/>
    </font>
    <font>
      <i/>
      <sz val="12"/>
      <name val="Bookman Old Style"/>
      <family val="1"/>
    </font>
    <font>
      <sz val="12"/>
      <name val="Bookman Old Style"/>
      <family val="1"/>
    </font>
    <font>
      <i/>
      <sz val="12"/>
      <color rgb="FF555555"/>
      <name val="Bookman Old Style"/>
      <family val="1"/>
    </font>
    <font>
      <sz val="12"/>
      <color rgb="FF000000"/>
      <name val="Bookman Old Style"/>
      <family val="1"/>
    </font>
    <font>
      <sz val="7"/>
      <name val="Consolas"/>
      <family val="3"/>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7">
    <xf numFmtId="0" fontId="0" fillId="0" borderId="0" xfId="0"/>
    <xf numFmtId="0" fontId="0" fillId="0" borderId="0" xfId="0" applyAlignment="1">
      <alignment horizontal="center"/>
    </xf>
    <xf numFmtId="0" fontId="3" fillId="0" borderId="0" xfId="0" applyFont="1" applyAlignment="1">
      <alignment vertical="center"/>
    </xf>
    <xf numFmtId="0" fontId="3" fillId="0" borderId="0" xfId="0" applyFont="1"/>
    <xf numFmtId="0" fontId="3" fillId="0" borderId="0" xfId="0" applyFont="1" applyAlignment="1">
      <alignment horizontal="center"/>
    </xf>
    <xf numFmtId="0" fontId="6" fillId="0" borderId="0" xfId="0" applyFont="1" applyAlignment="1">
      <alignment horizontal="left"/>
    </xf>
    <xf numFmtId="0" fontId="6" fillId="0" borderId="0" xfId="0" applyFont="1"/>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vertical="center"/>
    </xf>
    <xf numFmtId="0" fontId="1" fillId="0" borderId="0" xfId="1"/>
    <xf numFmtId="0" fontId="6" fillId="0" borderId="0" xfId="1" applyFont="1"/>
    <xf numFmtId="0" fontId="4" fillId="0" borderId="0" xfId="1" applyFont="1" applyAlignment="1">
      <alignment vertical="center"/>
    </xf>
    <xf numFmtId="0" fontId="6" fillId="0" borderId="0" xfId="1" applyFont="1" applyAlignment="1">
      <alignment vertical="center"/>
    </xf>
    <xf numFmtId="0" fontId="4" fillId="0" borderId="0" xfId="1" applyFont="1" applyAlignment="1">
      <alignment horizontal="center" vertical="center"/>
    </xf>
    <xf numFmtId="1" fontId="6" fillId="0" borderId="0" xfId="1" applyNumberFormat="1" applyFont="1" applyAlignment="1">
      <alignment horizontal="center"/>
    </xf>
    <xf numFmtId="0" fontId="1" fillId="0" borderId="0" xfId="1" applyAlignment="1">
      <alignment horizontal="center"/>
    </xf>
    <xf numFmtId="0" fontId="1" fillId="0" borderId="0" xfId="0" applyFont="1"/>
    <xf numFmtId="0" fontId="6" fillId="0" borderId="0" xfId="0" applyFont="1" applyAlignment="1">
      <alignment vertical="center"/>
    </xf>
    <xf numFmtId="0" fontId="7" fillId="0" borderId="0" xfId="0" quotePrefix="1" applyFont="1" applyAlignment="1">
      <alignment vertical="center" wrapText="1"/>
    </xf>
    <xf numFmtId="0" fontId="5" fillId="0" borderId="0" xfId="0" applyFont="1" applyAlignment="1">
      <alignment vertical="top"/>
    </xf>
    <xf numFmtId="0" fontId="6" fillId="0" borderId="0" xfId="1" quotePrefix="1" applyFont="1"/>
    <xf numFmtId="2" fontId="6" fillId="0" borderId="0" xfId="1" applyNumberFormat="1" applyFont="1" applyAlignment="1">
      <alignment horizontal="center"/>
    </xf>
    <xf numFmtId="0" fontId="6" fillId="0" borderId="0" xfId="1" applyFont="1" applyAlignment="1">
      <alignment horizontal="center"/>
    </xf>
    <xf numFmtId="1" fontId="6" fillId="0" borderId="0" xfId="0" quotePrefix="1" applyNumberFormat="1" applyFont="1" applyAlignment="1">
      <alignment horizontal="center"/>
    </xf>
    <xf numFmtId="1" fontId="6" fillId="0" borderId="0" xfId="0" applyNumberFormat="1" applyFont="1" applyAlignment="1">
      <alignment horizontal="center" vertical="center"/>
    </xf>
    <xf numFmtId="1" fontId="6" fillId="0" borderId="0" xfId="0" applyNumberFormat="1" applyFont="1" applyAlignment="1">
      <alignment horizontal="left" vertical="center"/>
    </xf>
    <xf numFmtId="1" fontId="6" fillId="0" borderId="0" xfId="0" quotePrefix="1" applyNumberFormat="1" applyFont="1" applyAlignment="1">
      <alignment horizontal="center" vertical="center"/>
    </xf>
    <xf numFmtId="0" fontId="6" fillId="0" borderId="0" xfId="1" applyFont="1" applyBorder="1"/>
    <xf numFmtId="49" fontId="8" fillId="0" borderId="0" xfId="0" applyNumberFormat="1" applyFont="1" applyBorder="1"/>
    <xf numFmtId="0" fontId="6" fillId="0" borderId="0" xfId="1" quotePrefix="1" applyFont="1" applyBorder="1"/>
    <xf numFmtId="0" fontId="7" fillId="0" borderId="0" xfId="0" quotePrefix="1" applyFont="1" applyAlignment="1">
      <alignment horizontal="left" vertical="center" wrapText="1"/>
    </xf>
    <xf numFmtId="0" fontId="7" fillId="0" borderId="0" xfId="0" quotePrefix="1" applyFont="1" applyAlignment="1">
      <alignment vertical="center" wrapText="1"/>
    </xf>
    <xf numFmtId="0" fontId="4" fillId="0" borderId="0" xfId="0" applyFont="1" applyAlignment="1">
      <alignment horizontal="left" vertical="center" wrapText="1"/>
    </xf>
    <xf numFmtId="0" fontId="5" fillId="0" borderId="0" xfId="0" applyFont="1" applyAlignment="1">
      <alignment horizontal="left"/>
    </xf>
    <xf numFmtId="0" fontId="4" fillId="0" borderId="0" xfId="1" applyFont="1" applyAlignment="1">
      <alignment horizontal="left" vertical="center" wrapText="1"/>
    </xf>
    <xf numFmtId="0" fontId="9" fillId="0" borderId="0" xfId="0" applyFont="1" applyAlignment="1">
      <alignment vertical="center" wrapText="1"/>
    </xf>
  </cellXfs>
  <cellStyles count="2">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
  <sheetViews>
    <sheetView topLeftCell="J2" workbookViewId="0">
      <selection activeCell="L3" sqref="L3:N9"/>
    </sheetView>
  </sheetViews>
  <sheetFormatPr defaultColWidth="9.81640625" defaultRowHeight="14.5"/>
  <cols>
    <col min="1" max="1" width="5" style="1" customWidth="1"/>
    <col min="2" max="2" width="23.6328125" customWidth="1"/>
    <col min="3" max="3" width="22" customWidth="1"/>
    <col min="4" max="4" width="22.54296875" customWidth="1"/>
    <col min="5" max="5" width="29.7265625" customWidth="1"/>
    <col min="6" max="6" width="57.81640625" customWidth="1"/>
    <col min="7" max="7" width="26.6328125" customWidth="1"/>
    <col min="8" max="8" width="20.81640625" customWidth="1"/>
    <col min="9" max="9" width="30.08984375" customWidth="1"/>
    <col min="10" max="10" width="42.453125" customWidth="1"/>
    <col min="14" max="14" width="10.453125" bestFit="1" customWidth="1"/>
  </cols>
  <sheetData>
    <row r="1" spans="1:14" s="2" customFormat="1" ht="34.5" customHeight="1">
      <c r="A1" s="33" t="s">
        <v>332</v>
      </c>
      <c r="B1" s="33"/>
      <c r="C1" s="33"/>
      <c r="D1" s="33"/>
      <c r="E1" s="33"/>
      <c r="F1" s="33"/>
      <c r="G1" s="33"/>
      <c r="H1" s="33"/>
      <c r="I1" s="33"/>
      <c r="J1" s="33"/>
    </row>
    <row r="2" spans="1:14" s="2" customFormat="1" ht="33.5" customHeight="1">
      <c r="A2" s="7" t="s">
        <v>0</v>
      </c>
      <c r="B2" s="8" t="s">
        <v>1</v>
      </c>
      <c r="C2" s="8" t="s">
        <v>2</v>
      </c>
      <c r="D2" s="8" t="s">
        <v>3</v>
      </c>
      <c r="E2" s="8" t="s">
        <v>25</v>
      </c>
      <c r="F2" s="8" t="s">
        <v>4</v>
      </c>
      <c r="G2" s="9" t="s">
        <v>5</v>
      </c>
      <c r="H2" s="9" t="s">
        <v>330</v>
      </c>
      <c r="I2" s="8" t="s">
        <v>6</v>
      </c>
      <c r="J2" s="8" t="s">
        <v>294</v>
      </c>
    </row>
    <row r="3" spans="1:14" s="18" customFormat="1" ht="25.5" customHeight="1">
      <c r="A3" s="25">
        <v>1</v>
      </c>
      <c r="B3" s="18" t="s">
        <v>320</v>
      </c>
      <c r="C3" s="18" t="s">
        <v>7</v>
      </c>
      <c r="D3" s="18" t="s">
        <v>278</v>
      </c>
      <c r="E3" s="26">
        <v>1</v>
      </c>
      <c r="F3" s="18" t="s">
        <v>8</v>
      </c>
      <c r="G3" s="25">
        <v>2007</v>
      </c>
      <c r="H3" s="27" t="s">
        <v>24</v>
      </c>
      <c r="I3" s="18" t="s">
        <v>388</v>
      </c>
      <c r="J3" s="18" t="s">
        <v>378</v>
      </c>
      <c r="L3" s="11">
        <f>INDEX(desa!A:A,MATCH(B3,desa!B:B,0))</f>
        <v>5</v>
      </c>
      <c r="M3" s="17" t="s">
        <v>478</v>
      </c>
      <c r="N3" s="11" t="str">
        <f>CONCATENATE("('",L3,";",C3,";",D3,";",E3,";",F3,";",G3,";",J3,";",M3,"'),")</f>
        <v>('5;Mampis Rungan;Jufriadi;1;Dusun Senayan Atas Desa Senayan Kec. Poto Tano;2007;Tidak Aktif;GAPOKTAN'),</v>
      </c>
    </row>
    <row r="4" spans="1:14" s="18" customFormat="1" ht="25.5" customHeight="1">
      <c r="A4" s="25">
        <v>2</v>
      </c>
      <c r="B4" s="18" t="s">
        <v>326</v>
      </c>
      <c r="C4" s="18" t="s">
        <v>9</v>
      </c>
      <c r="D4" s="18" t="s">
        <v>10</v>
      </c>
      <c r="E4" s="26">
        <v>0</v>
      </c>
      <c r="F4" s="18" t="s">
        <v>226</v>
      </c>
      <c r="G4" s="25">
        <v>2007</v>
      </c>
      <c r="H4" s="27" t="s">
        <v>24</v>
      </c>
      <c r="I4" s="18" t="s">
        <v>387</v>
      </c>
      <c r="J4" s="18" t="s">
        <v>378</v>
      </c>
      <c r="L4" s="11">
        <f>INDEX(desa!A:A,MATCH(B4,desa!B:B,0))</f>
        <v>3</v>
      </c>
      <c r="M4" s="17" t="s">
        <v>478</v>
      </c>
      <c r="N4" s="11" t="str">
        <f t="shared" ref="N4:N9" si="0">CONCATENATE("('",L4,";",C4,";",D4,";",E4,";",F4,";",G4,";",J4,";",M4,"'),")</f>
        <v>('3;Olat Mantar;Syafaruddin;0;Desa Mantar Kec. Poto Tano;2007;Tidak Aktif;GAPOKTAN'),</v>
      </c>
    </row>
    <row r="5" spans="1:14" s="18" customFormat="1" ht="25.5" customHeight="1">
      <c r="A5" s="25">
        <v>3</v>
      </c>
      <c r="B5" s="18" t="s">
        <v>11</v>
      </c>
      <c r="C5" s="18" t="s">
        <v>11</v>
      </c>
      <c r="D5" s="18" t="s">
        <v>61</v>
      </c>
      <c r="E5" s="26">
        <v>1</v>
      </c>
      <c r="F5" s="18" t="s">
        <v>301</v>
      </c>
      <c r="G5" s="25">
        <v>2008</v>
      </c>
      <c r="H5" s="27" t="s">
        <v>24</v>
      </c>
      <c r="I5" s="18" t="s">
        <v>389</v>
      </c>
      <c r="J5" s="18" t="s">
        <v>378</v>
      </c>
      <c r="L5" s="11">
        <f>INDEX(desa!A:A,MATCH(B5,desa!B:B,0))</f>
        <v>1</v>
      </c>
      <c r="M5" s="17" t="s">
        <v>478</v>
      </c>
      <c r="N5" s="11" t="str">
        <f t="shared" si="0"/>
        <v>('1;Kiantar;Alfian;1;Dusun Sagena Desa Kiantar Kec. Poto Tano;2008;Tidak Aktif;GAPOKTAN'),</v>
      </c>
    </row>
    <row r="6" spans="1:14" s="18" customFormat="1" ht="25.5" customHeight="1">
      <c r="A6" s="25">
        <v>5</v>
      </c>
      <c r="B6" s="18" t="s">
        <v>327</v>
      </c>
      <c r="C6" s="18" t="s">
        <v>12</v>
      </c>
      <c r="D6" s="18" t="s">
        <v>13</v>
      </c>
      <c r="E6" s="26">
        <v>10</v>
      </c>
      <c r="F6" s="18" t="s">
        <v>325</v>
      </c>
      <c r="G6" s="25">
        <v>2008</v>
      </c>
      <c r="H6" s="27" t="s">
        <v>24</v>
      </c>
      <c r="J6" s="18" t="s">
        <v>378</v>
      </c>
      <c r="L6" s="11">
        <f>INDEX(desa!A:A,MATCH(B6,desa!B:B,0))</f>
        <v>6</v>
      </c>
      <c r="M6" s="17" t="s">
        <v>478</v>
      </c>
      <c r="N6" s="11" t="str">
        <f t="shared" si="0"/>
        <v>('6;Maju Bersama;Ahmad;10;Desa UPT Tambak Sari Kec. Poto Tano;2008;Tidak Aktif;GAPOKTAN'),</v>
      </c>
    </row>
    <row r="7" spans="1:14" s="18" customFormat="1" ht="25.5" customHeight="1">
      <c r="A7" s="25">
        <v>6</v>
      </c>
      <c r="B7" s="18" t="s">
        <v>321</v>
      </c>
      <c r="C7" s="18" t="s">
        <v>21</v>
      </c>
      <c r="D7" s="18" t="s">
        <v>22</v>
      </c>
      <c r="E7" s="26">
        <v>5</v>
      </c>
      <c r="F7" s="18" t="s">
        <v>23</v>
      </c>
      <c r="G7" s="25">
        <v>2007</v>
      </c>
      <c r="H7" s="27" t="s">
        <v>24</v>
      </c>
      <c r="I7" s="18" t="s">
        <v>390</v>
      </c>
      <c r="J7" s="18" t="s">
        <v>378</v>
      </c>
      <c r="L7" s="11">
        <f>INDEX(desa!A:A,MATCH(B7,desa!B:B,0))</f>
        <v>2</v>
      </c>
      <c r="M7" s="17" t="s">
        <v>478</v>
      </c>
      <c r="N7" s="11" t="str">
        <f t="shared" si="0"/>
        <v>('2;Kokar Makmur;Samsul Arifin;5;Desa Kokarlian;2007;Tidak Aktif;GAPOKTAN'),</v>
      </c>
    </row>
    <row r="8" spans="1:14" s="18" customFormat="1" ht="25.5" customHeight="1">
      <c r="A8" s="25">
        <v>7</v>
      </c>
      <c r="B8" s="18" t="s">
        <v>322</v>
      </c>
      <c r="C8" s="18" t="s">
        <v>18</v>
      </c>
      <c r="D8" s="18" t="s">
        <v>19</v>
      </c>
      <c r="E8" s="26">
        <v>2</v>
      </c>
      <c r="F8" s="18" t="s">
        <v>20</v>
      </c>
      <c r="G8" s="25">
        <v>2010</v>
      </c>
      <c r="H8" s="27" t="s">
        <v>24</v>
      </c>
      <c r="I8" s="18" t="s">
        <v>387</v>
      </c>
      <c r="J8" s="18" t="s">
        <v>378</v>
      </c>
      <c r="L8" s="11">
        <f>INDEX(desa!A:A,MATCH(B8,desa!B:B,0))</f>
        <v>7</v>
      </c>
      <c r="M8" s="17" t="s">
        <v>478</v>
      </c>
      <c r="N8" s="11" t="str">
        <f t="shared" si="0"/>
        <v>('7;Tutu Ate;A. Hamid Hasim;2;Desa Tebo;2010;Tidak Aktif;GAPOKTAN'),</v>
      </c>
    </row>
    <row r="9" spans="1:14" s="18" customFormat="1" ht="25.5" customHeight="1">
      <c r="A9" s="25">
        <v>8</v>
      </c>
      <c r="B9" s="18" t="s">
        <v>328</v>
      </c>
      <c r="C9" s="18" t="s">
        <v>15</v>
      </c>
      <c r="D9" s="18" t="s">
        <v>16</v>
      </c>
      <c r="E9" s="26">
        <v>1</v>
      </c>
      <c r="F9" s="18" t="s">
        <v>17</v>
      </c>
      <c r="G9" s="25">
        <v>2010</v>
      </c>
      <c r="H9" s="27" t="s">
        <v>24</v>
      </c>
      <c r="I9" s="18" t="s">
        <v>391</v>
      </c>
      <c r="J9" s="18" t="s">
        <v>378</v>
      </c>
      <c r="L9" s="11">
        <f>INDEX(desa!A:A,MATCH(B9,desa!B:B,0))</f>
        <v>8</v>
      </c>
      <c r="M9" s="17" t="s">
        <v>478</v>
      </c>
      <c r="N9" s="11" t="str">
        <f t="shared" si="0"/>
        <v>('8;Bangka Bela;Saparuddin;1;Desa Tua Nanga;2010;Tidak Aktif;GAPOKTAN'),</v>
      </c>
    </row>
    <row r="10" spans="1:14" s="3" customFormat="1" ht="15.5">
      <c r="A10" s="4"/>
      <c r="H10" s="24"/>
    </row>
    <row r="11" spans="1:14" s="3" customFormat="1" ht="14">
      <c r="A11" s="4"/>
    </row>
    <row r="12" spans="1:14" s="6" customFormat="1" ht="20" customHeight="1">
      <c r="B12" s="5"/>
    </row>
    <row r="13" spans="1:14" s="20" customFormat="1" ht="30" customHeight="1">
      <c r="A13" s="20" t="s">
        <v>311</v>
      </c>
    </row>
    <row r="14" spans="1:14" s="17" customFormat="1" ht="108" customHeight="1">
      <c r="A14" s="31" t="s">
        <v>315</v>
      </c>
      <c r="B14" s="31"/>
      <c r="C14" s="31"/>
      <c r="D14" s="31"/>
      <c r="E14" s="31"/>
      <c r="F14" s="31"/>
    </row>
    <row r="15" spans="1:14" s="17" customFormat="1" ht="37.5" customHeight="1">
      <c r="A15" s="32" t="s">
        <v>312</v>
      </c>
      <c r="B15" s="32"/>
      <c r="C15" s="32"/>
      <c r="D15" s="32"/>
      <c r="E15" s="32"/>
      <c r="F15" s="32"/>
    </row>
    <row r="16" spans="1:14" s="17" customFormat="1" ht="24" customHeight="1">
      <c r="A16" s="31" t="s">
        <v>453</v>
      </c>
      <c r="B16" s="31"/>
      <c r="C16" s="31"/>
      <c r="D16" s="31"/>
      <c r="E16" s="31"/>
      <c r="F16" s="31"/>
    </row>
  </sheetData>
  <mergeCells count="4">
    <mergeCell ref="A16:F16"/>
    <mergeCell ref="A14:F14"/>
    <mergeCell ref="A15:F15"/>
    <mergeCell ref="A1:J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25"/>
  <sheetViews>
    <sheetView tabSelected="1" topLeftCell="E1" zoomScale="63" zoomScaleNormal="63" workbookViewId="0">
      <selection activeCell="G2" sqref="G2"/>
    </sheetView>
  </sheetViews>
  <sheetFormatPr defaultColWidth="9.81640625" defaultRowHeight="14.5"/>
  <cols>
    <col min="1" max="1" width="7.1796875" style="16" customWidth="1"/>
    <col min="2" max="2" width="22.81640625" style="10" customWidth="1"/>
    <col min="3" max="3" width="29.1796875" style="10" customWidth="1"/>
    <col min="4" max="4" width="20.7265625" style="10" customWidth="1"/>
    <col min="5" max="5" width="29.26953125" style="10" customWidth="1"/>
    <col min="6" max="6" width="22.1796875" style="16" customWidth="1"/>
    <col min="7" max="7" width="19.81640625" style="16" customWidth="1"/>
    <col min="8" max="8" width="52.6328125" style="10" customWidth="1"/>
    <col min="9" max="9" width="38.26953125" style="10" customWidth="1"/>
    <col min="10" max="10" width="44.26953125" style="10" customWidth="1"/>
    <col min="11" max="13" width="9.81640625" style="10"/>
    <col min="14" max="14" width="121.36328125" style="10" bestFit="1" customWidth="1"/>
    <col min="15" max="15" width="0.6328125" style="10" customWidth="1"/>
    <col min="16" max="16" width="2.36328125" style="10" customWidth="1"/>
    <col min="17" max="16384" width="9.81640625" style="10"/>
  </cols>
  <sheetData>
    <row r="1" spans="1:18" ht="38.5" customHeight="1">
      <c r="A1" s="35" t="s">
        <v>331</v>
      </c>
      <c r="B1" s="35"/>
      <c r="C1" s="35"/>
      <c r="D1" s="35"/>
      <c r="E1" s="35"/>
      <c r="F1" s="35"/>
      <c r="G1" s="35"/>
      <c r="H1" s="35"/>
      <c r="I1" s="35"/>
      <c r="J1" s="35"/>
    </row>
    <row r="2" spans="1:18" s="13" customFormat="1" ht="34" customHeight="1">
      <c r="A2" s="14" t="s">
        <v>0</v>
      </c>
      <c r="B2" s="12" t="s">
        <v>1</v>
      </c>
      <c r="C2" s="12" t="s">
        <v>324</v>
      </c>
      <c r="D2" s="12" t="s">
        <v>323</v>
      </c>
      <c r="E2" s="12" t="s">
        <v>3</v>
      </c>
      <c r="F2" s="14" t="s">
        <v>291</v>
      </c>
      <c r="G2" s="14" t="s">
        <v>329</v>
      </c>
      <c r="H2" s="12" t="s">
        <v>377</v>
      </c>
      <c r="I2" s="12" t="s">
        <v>293</v>
      </c>
      <c r="J2" s="12" t="s">
        <v>292</v>
      </c>
      <c r="L2" s="13" t="s">
        <v>458</v>
      </c>
      <c r="M2" s="13" t="s">
        <v>459</v>
      </c>
    </row>
    <row r="3" spans="1:18" s="13" customFormat="1" ht="24.5" customHeight="1">
      <c r="A3" s="15">
        <v>1</v>
      </c>
      <c r="B3" s="11" t="s">
        <v>320</v>
      </c>
      <c r="C3" s="11" t="s">
        <v>461</v>
      </c>
      <c r="D3" s="11" t="s">
        <v>333</v>
      </c>
      <c r="E3" s="11" t="s">
        <v>76</v>
      </c>
      <c r="F3" s="15">
        <v>17</v>
      </c>
      <c r="G3" s="22">
        <v>33</v>
      </c>
      <c r="H3" s="21" t="s">
        <v>339</v>
      </c>
      <c r="I3" s="11" t="s">
        <v>334</v>
      </c>
      <c r="J3" s="11" t="s">
        <v>370</v>
      </c>
      <c r="K3" s="11"/>
      <c r="L3" s="11">
        <f>INDEX(desa!A:A,MATCH(B3,desa!B:B,0))</f>
        <v>5</v>
      </c>
      <c r="M3" s="17" t="s">
        <v>460</v>
      </c>
      <c r="N3" s="11" t="str">
        <f>CONCATENATE("('",L3,";",TRIM(LEFT(C3,FIND("  ",C3)-1)),";",D3,";",E3,";",F3,";",G3,";",H3,";",I3,";",J3,";",M3,"'),")</f>
        <v>('5;Mares Gama;Lanjut;H. Junaidi HS;17;33;-8.585445, 116.83670700000001;Jagung;Aktif;POKTAN'),</v>
      </c>
      <c r="O3" s="11"/>
      <c r="P3" s="11"/>
      <c r="Q3" s="11"/>
      <c r="R3" s="11"/>
    </row>
    <row r="4" spans="1:18" s="11" customFormat="1" ht="20.5" customHeight="1">
      <c r="A4" s="15">
        <v>2</v>
      </c>
      <c r="B4" s="11" t="s">
        <v>320</v>
      </c>
      <c r="C4" s="11" t="s">
        <v>78</v>
      </c>
      <c r="D4" s="11" t="s">
        <v>333</v>
      </c>
      <c r="E4" s="11" t="s">
        <v>77</v>
      </c>
      <c r="F4" s="15">
        <v>29</v>
      </c>
      <c r="G4" s="22">
        <v>52.7</v>
      </c>
      <c r="H4" s="21" t="s">
        <v>338</v>
      </c>
      <c r="I4" s="11" t="s">
        <v>334</v>
      </c>
      <c r="J4" s="11" t="s">
        <v>370</v>
      </c>
      <c r="L4" s="11">
        <f>INDEX(desa!A:A,MATCH(B4,desa!B:B,0))</f>
        <v>5</v>
      </c>
      <c r="M4" s="17" t="s">
        <v>460</v>
      </c>
      <c r="N4" s="11" t="str">
        <f t="shared" ref="N4:N67" si="0">CONCATENATE("('",L4,";",TRIM(LEFT(C4,FIND("  ",C4)-1)),";",D4,";",E4,";",F4,";",G4,";",H4,";",I4,";",J4,";",M4,"'),")</f>
        <v>('5;Semangat Baru;Lanjut;Samsun HJ;29;52.7;-8.591425, 116.84190333333332;Jagung;Aktif;POKTAN'),</v>
      </c>
    </row>
    <row r="5" spans="1:18" s="11" customFormat="1" ht="20.5" customHeight="1">
      <c r="A5" s="15">
        <v>3</v>
      </c>
      <c r="B5" s="11" t="s">
        <v>320</v>
      </c>
      <c r="C5" s="11" t="s">
        <v>80</v>
      </c>
      <c r="D5" s="11" t="s">
        <v>319</v>
      </c>
      <c r="E5" s="11" t="s">
        <v>79</v>
      </c>
      <c r="F5" s="15">
        <v>23</v>
      </c>
      <c r="G5" s="22">
        <v>39</v>
      </c>
      <c r="H5" s="21" t="s">
        <v>337</v>
      </c>
      <c r="I5" s="11" t="s">
        <v>334</v>
      </c>
      <c r="J5" s="11" t="s">
        <v>370</v>
      </c>
      <c r="L5" s="11">
        <f>INDEX(desa!A:A,MATCH(B5,desa!B:B,0))</f>
        <v>5</v>
      </c>
      <c r="M5" s="17" t="s">
        <v>460</v>
      </c>
      <c r="N5" s="11" t="str">
        <f t="shared" si="0"/>
        <v>('5;Suka Maju;Pemula;Tamrin;23;39;-8.584915, 116.83269666666665;Jagung;Aktif;POKTAN'),</v>
      </c>
    </row>
    <row r="6" spans="1:18" s="11" customFormat="1" ht="20.5" customHeight="1">
      <c r="A6" s="15">
        <v>4</v>
      </c>
      <c r="B6" s="11" t="s">
        <v>320</v>
      </c>
      <c r="C6" s="11" t="s">
        <v>237</v>
      </c>
      <c r="D6" s="11" t="s">
        <v>319</v>
      </c>
      <c r="E6" s="11" t="s">
        <v>236</v>
      </c>
      <c r="F6" s="15">
        <v>24</v>
      </c>
      <c r="G6" s="22">
        <v>34</v>
      </c>
      <c r="H6" s="21" t="s">
        <v>343</v>
      </c>
      <c r="I6" s="11" t="s">
        <v>334</v>
      </c>
      <c r="J6" s="11" t="s">
        <v>370</v>
      </c>
      <c r="L6" s="11">
        <f>INDEX(desa!A:A,MATCH(B6,desa!B:B,0))</f>
        <v>5</v>
      </c>
      <c r="M6" s="17" t="s">
        <v>460</v>
      </c>
      <c r="N6" s="11" t="str">
        <f t="shared" si="0"/>
        <v>('5;Alam Subur;Pemula;Bahtiyar HMY;24;34;-8.582983, 116.831105;Jagung;Aktif;POKTAN'),</v>
      </c>
    </row>
    <row r="7" spans="1:18" s="11" customFormat="1" ht="20.5" customHeight="1">
      <c r="A7" s="15">
        <v>5</v>
      </c>
      <c r="B7" s="11" t="s">
        <v>320</v>
      </c>
      <c r="C7" s="11" t="s">
        <v>84</v>
      </c>
      <c r="D7" s="11" t="s">
        <v>333</v>
      </c>
      <c r="E7" s="11" t="s">
        <v>83</v>
      </c>
      <c r="F7" s="15">
        <v>50</v>
      </c>
      <c r="G7" s="22">
        <v>60</v>
      </c>
      <c r="H7" s="21" t="s">
        <v>336</v>
      </c>
      <c r="I7" s="11" t="s">
        <v>334</v>
      </c>
      <c r="J7" s="11" t="s">
        <v>370</v>
      </c>
      <c r="L7" s="11">
        <f>INDEX(desa!A:A,MATCH(B7,desa!B:B,0))</f>
        <v>5</v>
      </c>
      <c r="M7" s="17" t="s">
        <v>460</v>
      </c>
      <c r="N7" s="11" t="str">
        <f t="shared" si="0"/>
        <v>('5;Cinta Damai;Lanjut;A. Muin;50;60;-8.60397, 116.84600333333334;Jagung;Aktif;POKTAN'),</v>
      </c>
    </row>
    <row r="8" spans="1:18" s="11" customFormat="1" ht="20.5" customHeight="1">
      <c r="A8" s="15">
        <v>6</v>
      </c>
      <c r="B8" s="11" t="s">
        <v>320</v>
      </c>
      <c r="C8" s="11" t="s">
        <v>86</v>
      </c>
      <c r="D8" s="11" t="s">
        <v>319</v>
      </c>
      <c r="E8" s="11" t="s">
        <v>85</v>
      </c>
      <c r="F8" s="15">
        <v>41</v>
      </c>
      <c r="G8" s="22">
        <v>50</v>
      </c>
      <c r="H8" s="21" t="s">
        <v>340</v>
      </c>
      <c r="I8" s="11" t="s">
        <v>334</v>
      </c>
      <c r="J8" s="11" t="s">
        <v>370</v>
      </c>
      <c r="L8" s="11">
        <f>INDEX(desa!A:A,MATCH(B8,desa!B:B,0))</f>
        <v>5</v>
      </c>
      <c r="M8" s="17" t="s">
        <v>460</v>
      </c>
      <c r="N8" s="11" t="str">
        <f t="shared" si="0"/>
        <v>('5;Sekar Group;Pemula;Zainudin Tayub;41;50;-8.57287, 116.847463333333332 ;Jagung;Aktif;POKTAN'),</v>
      </c>
    </row>
    <row r="9" spans="1:18" s="11" customFormat="1" ht="20.5" customHeight="1">
      <c r="A9" s="15">
        <v>7</v>
      </c>
      <c r="B9" s="11" t="s">
        <v>320</v>
      </c>
      <c r="C9" s="11" t="s">
        <v>87</v>
      </c>
      <c r="D9" s="11" t="s">
        <v>319</v>
      </c>
      <c r="E9" s="11" t="s">
        <v>360</v>
      </c>
      <c r="F9" s="15">
        <v>32</v>
      </c>
      <c r="G9" s="22">
        <v>11</v>
      </c>
      <c r="H9" s="21" t="s">
        <v>362</v>
      </c>
      <c r="I9" s="11" t="s">
        <v>361</v>
      </c>
      <c r="J9" s="11" t="s">
        <v>370</v>
      </c>
      <c r="L9" s="11">
        <f>INDEX(desa!A:A,MATCH(B9,desa!B:B,0))</f>
        <v>5</v>
      </c>
      <c r="M9" s="17" t="s">
        <v>460</v>
      </c>
      <c r="N9" s="11" t="str">
        <f t="shared" si="0"/>
        <v>('5;Bukit Indah;Pemula;Hamzah AR;32;11;-8.62099, 116.85271666666668;Padi;Aktif;POKTAN'),</v>
      </c>
    </row>
    <row r="10" spans="1:18" s="11" customFormat="1" ht="20.5" customHeight="1">
      <c r="A10" s="15">
        <v>8</v>
      </c>
      <c r="B10" s="11" t="s">
        <v>320</v>
      </c>
      <c r="C10" s="11" t="s">
        <v>89</v>
      </c>
      <c r="D10" s="11" t="s">
        <v>319</v>
      </c>
      <c r="E10" s="11" t="s">
        <v>88</v>
      </c>
      <c r="F10" s="15">
        <v>29</v>
      </c>
      <c r="G10" s="22">
        <v>10</v>
      </c>
      <c r="H10" s="21" t="s">
        <v>366</v>
      </c>
      <c r="I10" s="11" t="s">
        <v>361</v>
      </c>
      <c r="J10" s="11" t="s">
        <v>370</v>
      </c>
      <c r="L10" s="11">
        <f>INDEX(desa!A:A,MATCH(B10,desa!B:B,0))</f>
        <v>5</v>
      </c>
      <c r="M10" s="17" t="s">
        <v>460</v>
      </c>
      <c r="N10" s="11" t="str">
        <f t="shared" si="0"/>
        <v>('5;Masi Sate I;Pemula;H. Makbul;29;10;-8.6181531, 116.8574288;Padi;Aktif;POKTAN'),</v>
      </c>
    </row>
    <row r="11" spans="1:18" s="11" customFormat="1" ht="20.5" customHeight="1">
      <c r="A11" s="15">
        <v>9</v>
      </c>
      <c r="B11" s="11" t="s">
        <v>320</v>
      </c>
      <c r="C11" s="11" t="s">
        <v>91</v>
      </c>
      <c r="D11" s="11" t="s">
        <v>319</v>
      </c>
      <c r="E11" s="11" t="s">
        <v>90</v>
      </c>
      <c r="F11" s="15">
        <v>32</v>
      </c>
      <c r="G11" s="22">
        <v>10</v>
      </c>
      <c r="H11" s="21" t="s">
        <v>365</v>
      </c>
      <c r="I11" s="11" t="s">
        <v>361</v>
      </c>
      <c r="J11" s="11" t="s">
        <v>370</v>
      </c>
      <c r="L11" s="11">
        <f>INDEX(desa!A:A,MATCH(B11,desa!B:B,0))</f>
        <v>5</v>
      </c>
      <c r="M11" s="17" t="s">
        <v>460</v>
      </c>
      <c r="N11" s="11" t="str">
        <f t="shared" si="0"/>
        <v>('5;Masi Sate II;Pemula;Bakhtiyar HM;32;10;-8.61709, 116.85678333333333;Padi;Aktif;POKTAN'),</v>
      </c>
    </row>
    <row r="12" spans="1:18" s="11" customFormat="1" ht="20.5" customHeight="1">
      <c r="A12" s="15">
        <v>10</v>
      </c>
      <c r="B12" s="11" t="s">
        <v>320</v>
      </c>
      <c r="C12" s="11" t="s">
        <v>93</v>
      </c>
      <c r="D12" s="11" t="s">
        <v>333</v>
      </c>
      <c r="E12" s="11" t="s">
        <v>92</v>
      </c>
      <c r="F12" s="15">
        <v>42</v>
      </c>
      <c r="G12" s="22">
        <v>11</v>
      </c>
      <c r="H12" s="21" t="s">
        <v>364</v>
      </c>
      <c r="I12" s="11" t="s">
        <v>361</v>
      </c>
      <c r="J12" s="11" t="s">
        <v>370</v>
      </c>
      <c r="L12" s="11">
        <f>INDEX(desa!A:A,MATCH(B12,desa!B:B,0))</f>
        <v>5</v>
      </c>
      <c r="M12" s="17" t="s">
        <v>460</v>
      </c>
      <c r="N12" s="11" t="str">
        <f t="shared" si="0"/>
        <v>('5;Tari Jangi;Lanjut;M. Arifin SAP;42;11;-8.614894999999999, 116.849345;Padi;Aktif;POKTAN'),</v>
      </c>
    </row>
    <row r="13" spans="1:18" s="11" customFormat="1" ht="20.5" customHeight="1">
      <c r="A13" s="15">
        <v>11</v>
      </c>
      <c r="B13" s="11" t="s">
        <v>320</v>
      </c>
      <c r="C13" s="11" t="s">
        <v>376</v>
      </c>
      <c r="D13" s="11" t="s">
        <v>333</v>
      </c>
      <c r="E13" s="11" t="s">
        <v>373</v>
      </c>
      <c r="F13" s="15">
        <v>11</v>
      </c>
      <c r="G13" s="22"/>
      <c r="I13" s="11" t="s">
        <v>446</v>
      </c>
      <c r="J13" s="11" t="s">
        <v>370</v>
      </c>
      <c r="L13" s="11">
        <f>INDEX(desa!A:A,MATCH(B13,desa!B:B,0))</f>
        <v>5</v>
      </c>
      <c r="M13" s="17" t="s">
        <v>460</v>
      </c>
      <c r="N13" s="11" t="str">
        <f t="shared" si="0"/>
        <v>('5;KWT Melati;Lanjut;Hj. Mastur;11;;;Pengolahan Hasil Pertanian;Aktif;POKTAN'),</v>
      </c>
    </row>
    <row r="14" spans="1:18" s="11" customFormat="1" ht="20.5" customHeight="1">
      <c r="A14" s="15">
        <v>12</v>
      </c>
      <c r="B14" s="11" t="s">
        <v>320</v>
      </c>
      <c r="C14" s="11" t="s">
        <v>372</v>
      </c>
      <c r="D14" s="11" t="s">
        <v>333</v>
      </c>
      <c r="E14" s="11" t="s">
        <v>94</v>
      </c>
      <c r="F14" s="15">
        <v>11</v>
      </c>
      <c r="G14" s="22"/>
      <c r="I14" s="11" t="s">
        <v>446</v>
      </c>
      <c r="J14" s="11" t="s">
        <v>370</v>
      </c>
      <c r="L14" s="11">
        <f>INDEX(desa!A:A,MATCH(B14,desa!B:B,0))</f>
        <v>5</v>
      </c>
      <c r="M14" s="17" t="s">
        <v>460</v>
      </c>
      <c r="N14" s="11" t="str">
        <f t="shared" si="0"/>
        <v>('5;KWT Melati II;Lanjut;Herianti, S.Pd;11;;;Pengolahan Hasil Pertanian;Aktif;POKTAN'),</v>
      </c>
    </row>
    <row r="15" spans="1:18" s="11" customFormat="1" ht="20.5" customHeight="1">
      <c r="A15" s="15">
        <v>13</v>
      </c>
      <c r="B15" s="11" t="s">
        <v>320</v>
      </c>
      <c r="C15" s="11" t="s">
        <v>96</v>
      </c>
      <c r="D15" s="11" t="s">
        <v>333</v>
      </c>
      <c r="E15" s="11" t="s">
        <v>95</v>
      </c>
      <c r="F15" s="15">
        <v>33</v>
      </c>
      <c r="G15" s="22">
        <v>40</v>
      </c>
      <c r="H15" s="21" t="s">
        <v>335</v>
      </c>
      <c r="I15" s="11" t="s">
        <v>334</v>
      </c>
      <c r="J15" s="11" t="s">
        <v>370</v>
      </c>
      <c r="L15" s="11">
        <f>INDEX(desa!A:A,MATCH(B15,desa!B:B,0))</f>
        <v>5</v>
      </c>
      <c r="M15" s="17" t="s">
        <v>460</v>
      </c>
      <c r="N15" s="11" t="str">
        <f t="shared" si="0"/>
        <v>('5;Cempaka;Lanjut;Sudarli, HS., S.AP;33;40;-8.588445, 116.83553166666667;Jagung;Aktif;POKTAN'),</v>
      </c>
    </row>
    <row r="16" spans="1:18" s="11" customFormat="1" ht="20.5" customHeight="1">
      <c r="A16" s="15">
        <v>14</v>
      </c>
      <c r="B16" s="11" t="s">
        <v>320</v>
      </c>
      <c r="C16" s="11" t="s">
        <v>98</v>
      </c>
      <c r="D16" s="11" t="s">
        <v>319</v>
      </c>
      <c r="E16" s="11" t="s">
        <v>97</v>
      </c>
      <c r="F16" s="15">
        <v>13</v>
      </c>
      <c r="G16" s="22"/>
      <c r="I16" s="11" t="s">
        <v>447</v>
      </c>
      <c r="J16" s="11" t="s">
        <v>370</v>
      </c>
      <c r="L16" s="11">
        <f>INDEX(desa!A:A,MATCH(B16,desa!B:B,0))</f>
        <v>5</v>
      </c>
      <c r="M16" s="17" t="s">
        <v>460</v>
      </c>
      <c r="N16" s="11" t="str">
        <f t="shared" si="0"/>
        <v>('5;Senap semu;Pemula;Indra Kusuma;13;;;Peternakan;Aktif;POKTAN'),</v>
      </c>
    </row>
    <row r="17" spans="1:14" s="11" customFormat="1" ht="20.5" customHeight="1">
      <c r="A17" s="15">
        <v>15</v>
      </c>
      <c r="B17" s="11" t="s">
        <v>320</v>
      </c>
      <c r="C17" s="11" t="s">
        <v>100</v>
      </c>
      <c r="D17" s="11" t="s">
        <v>319</v>
      </c>
      <c r="E17" s="11" t="s">
        <v>99</v>
      </c>
      <c r="F17" s="15">
        <v>7</v>
      </c>
      <c r="G17" s="22"/>
      <c r="I17" s="11" t="s">
        <v>447</v>
      </c>
      <c r="J17" s="11" t="s">
        <v>370</v>
      </c>
      <c r="L17" s="11">
        <f>INDEX(desa!A:A,MATCH(B17,desa!B:B,0))</f>
        <v>5</v>
      </c>
      <c r="M17" s="17" t="s">
        <v>460</v>
      </c>
      <c r="N17" s="11" t="str">
        <f t="shared" si="0"/>
        <v>('5;Saling Angkat;Pemula;Nurdin;7;;;Peternakan;Aktif;POKTAN'),</v>
      </c>
    </row>
    <row r="18" spans="1:14" s="11" customFormat="1" ht="20.5" customHeight="1">
      <c r="A18" s="15">
        <v>16</v>
      </c>
      <c r="B18" s="11" t="s">
        <v>320</v>
      </c>
      <c r="C18" s="11" t="s">
        <v>101</v>
      </c>
      <c r="D18" s="11" t="s">
        <v>319</v>
      </c>
      <c r="E18" s="11" t="s">
        <v>83</v>
      </c>
      <c r="F18" s="15">
        <v>11</v>
      </c>
      <c r="G18" s="22"/>
      <c r="I18" s="11" t="s">
        <v>447</v>
      </c>
      <c r="J18" s="11" t="s">
        <v>370</v>
      </c>
      <c r="L18" s="11">
        <f>INDEX(desa!A:A,MATCH(B18,desa!B:B,0))</f>
        <v>5</v>
      </c>
      <c r="M18" s="17" t="s">
        <v>460</v>
      </c>
      <c r="N18" s="11" t="str">
        <f t="shared" si="0"/>
        <v>('5;Ai;Pemula;A. Muin;11;;;Peternakan;Aktif;POKTAN'),</v>
      </c>
    </row>
    <row r="19" spans="1:14" s="11" customFormat="1" ht="20.5" customHeight="1">
      <c r="A19" s="15">
        <v>17</v>
      </c>
      <c r="B19" s="11" t="s">
        <v>320</v>
      </c>
      <c r="C19" s="11" t="s">
        <v>103</v>
      </c>
      <c r="D19" s="11" t="s">
        <v>319</v>
      </c>
      <c r="E19" s="11" t="s">
        <v>102</v>
      </c>
      <c r="F19" s="15">
        <v>43</v>
      </c>
      <c r="G19" s="22">
        <v>64</v>
      </c>
      <c r="H19" s="21" t="s">
        <v>350</v>
      </c>
      <c r="I19" s="11" t="s">
        <v>334</v>
      </c>
      <c r="J19" s="11" t="s">
        <v>370</v>
      </c>
      <c r="L19" s="11">
        <f>INDEX(desa!A:A,MATCH(B19,desa!B:B,0))</f>
        <v>5</v>
      </c>
      <c r="M19" s="17" t="s">
        <v>460</v>
      </c>
      <c r="N19" s="11" t="str">
        <f t="shared" si="0"/>
        <v>('5;Kuber Kolo;Pemula;M. Saleh;43;64;-8.6239554, 116.8507255;Jagung;Aktif;POKTAN'),</v>
      </c>
    </row>
    <row r="20" spans="1:14" s="11" customFormat="1" ht="20.5" customHeight="1">
      <c r="A20" s="15">
        <v>18</v>
      </c>
      <c r="B20" s="11" t="s">
        <v>320</v>
      </c>
      <c r="C20" s="11" t="s">
        <v>206</v>
      </c>
      <c r="D20" s="11" t="s">
        <v>319</v>
      </c>
      <c r="E20" s="11" t="s">
        <v>346</v>
      </c>
      <c r="F20" s="15">
        <v>23</v>
      </c>
      <c r="G20" s="22">
        <v>42.3</v>
      </c>
      <c r="H20" s="21" t="s">
        <v>347</v>
      </c>
      <c r="I20" s="11" t="s">
        <v>334</v>
      </c>
      <c r="J20" s="11" t="s">
        <v>370</v>
      </c>
      <c r="L20" s="11">
        <f>INDEX(desa!A:A,MATCH(B20,desa!B:B,0))</f>
        <v>5</v>
      </c>
      <c r="M20" s="17" t="s">
        <v>460</v>
      </c>
      <c r="N20" s="11" t="str">
        <f t="shared" si="0"/>
        <v>('5;Olat Dara;Pemula;M. Yasin;23;42.3;-8.581815, 116.84369999999998;Jagung;Aktif;POKTAN'),</v>
      </c>
    </row>
    <row r="21" spans="1:14" s="11" customFormat="1" ht="20.5" customHeight="1">
      <c r="A21" s="15">
        <v>19</v>
      </c>
      <c r="B21" s="11" t="s">
        <v>320</v>
      </c>
      <c r="C21" s="11" t="s">
        <v>163</v>
      </c>
      <c r="D21" s="11" t="s">
        <v>319</v>
      </c>
      <c r="E21" s="11" t="s">
        <v>162</v>
      </c>
      <c r="F21" s="15">
        <v>17</v>
      </c>
      <c r="G21" s="22">
        <v>30</v>
      </c>
      <c r="H21" s="21" t="s">
        <v>348</v>
      </c>
      <c r="I21" s="11" t="s">
        <v>334</v>
      </c>
      <c r="J21" s="11" t="s">
        <v>370</v>
      </c>
      <c r="L21" s="11">
        <f>INDEX(desa!A:A,MATCH(B21,desa!B:B,0))</f>
        <v>5</v>
      </c>
      <c r="M21" s="17" t="s">
        <v>460</v>
      </c>
      <c r="N21" s="11" t="str">
        <f t="shared" si="0"/>
        <v>('5;Olat Dara II;Pemula;Moh. Saleh;17;30;-8.5885075, 116.8404171;Jagung;Aktif;POKTAN'),</v>
      </c>
    </row>
    <row r="22" spans="1:14" s="11" customFormat="1" ht="20.5" customHeight="1">
      <c r="A22" s="15">
        <v>20</v>
      </c>
      <c r="B22" s="11" t="s">
        <v>320</v>
      </c>
      <c r="C22" s="11" t="s">
        <v>164</v>
      </c>
      <c r="D22" s="11" t="s">
        <v>319</v>
      </c>
      <c r="E22" s="11" t="s">
        <v>352</v>
      </c>
      <c r="F22" s="15">
        <v>24</v>
      </c>
      <c r="G22" s="22">
        <v>42</v>
      </c>
      <c r="H22" s="21" t="s">
        <v>353</v>
      </c>
      <c r="I22" s="11" t="s">
        <v>334</v>
      </c>
      <c r="J22" s="11" t="s">
        <v>370</v>
      </c>
      <c r="L22" s="11">
        <f>INDEX(desa!A:A,MATCH(B22,desa!B:B,0))</f>
        <v>5</v>
      </c>
      <c r="M22" s="17" t="s">
        <v>460</v>
      </c>
      <c r="N22" s="11" t="str">
        <f t="shared" si="0"/>
        <v>('5;Ai Lawang II;Pemula;Faesal;24;42;-8.59036, 116.83675833333334;Jagung;Aktif;POKTAN'),</v>
      </c>
    </row>
    <row r="23" spans="1:14" s="11" customFormat="1" ht="20.5" customHeight="1">
      <c r="A23" s="15">
        <v>21</v>
      </c>
      <c r="B23" s="11" t="s">
        <v>320</v>
      </c>
      <c r="C23" s="11" t="s">
        <v>166</v>
      </c>
      <c r="D23" s="11" t="s">
        <v>319</v>
      </c>
      <c r="E23" s="11" t="s">
        <v>165</v>
      </c>
      <c r="F23" s="15">
        <v>38</v>
      </c>
      <c r="G23" s="22">
        <v>11</v>
      </c>
      <c r="H23" s="21" t="s">
        <v>368</v>
      </c>
      <c r="I23" s="11" t="s">
        <v>361</v>
      </c>
      <c r="J23" s="11" t="s">
        <v>370</v>
      </c>
      <c r="L23" s="11">
        <f>INDEX(desa!A:A,MATCH(B23,desa!B:B,0))</f>
        <v>5</v>
      </c>
      <c r="M23" s="17" t="s">
        <v>460</v>
      </c>
      <c r="N23" s="11" t="str">
        <f t="shared" si="0"/>
        <v>('5;Ai Olat;Pemula;H. Mursidi;38;11;-8.619568333333332, 116.84483;Padi;Aktif;POKTAN'),</v>
      </c>
    </row>
    <row r="24" spans="1:14" s="11" customFormat="1" ht="20.5" customHeight="1">
      <c r="A24" s="15">
        <v>22</v>
      </c>
      <c r="B24" s="11" t="s">
        <v>320</v>
      </c>
      <c r="C24" s="11" t="s">
        <v>168</v>
      </c>
      <c r="D24" s="11" t="s">
        <v>319</v>
      </c>
      <c r="E24" s="11" t="s">
        <v>167</v>
      </c>
      <c r="F24" s="15">
        <v>28</v>
      </c>
      <c r="G24" s="22">
        <v>11.41</v>
      </c>
      <c r="H24" s="21" t="s">
        <v>363</v>
      </c>
      <c r="I24" s="11" t="s">
        <v>361</v>
      </c>
      <c r="J24" s="11" t="s">
        <v>370</v>
      </c>
      <c r="L24" s="11">
        <f>INDEX(desa!A:A,MATCH(B24,desa!B:B,0))</f>
        <v>5</v>
      </c>
      <c r="M24" s="17" t="s">
        <v>460</v>
      </c>
      <c r="N24" s="11" t="str">
        <f t="shared" si="0"/>
        <v>('5;Bukit Indah II;Pemula;Burhanuddin;28;11.41;-8.621035000000001, 116.84726666666666;Padi;Aktif;POKTAN'),</v>
      </c>
    </row>
    <row r="25" spans="1:14" s="11" customFormat="1" ht="20.5" customHeight="1">
      <c r="A25" s="15">
        <v>23</v>
      </c>
      <c r="B25" s="11" t="s">
        <v>320</v>
      </c>
      <c r="C25" s="11" t="s">
        <v>189</v>
      </c>
      <c r="D25" s="11" t="s">
        <v>333</v>
      </c>
      <c r="E25" s="11" t="s">
        <v>188</v>
      </c>
      <c r="F25" s="15">
        <v>35</v>
      </c>
      <c r="G25" s="22">
        <v>47</v>
      </c>
      <c r="H25" s="21" t="s">
        <v>342</v>
      </c>
      <c r="I25" s="11" t="s">
        <v>334</v>
      </c>
      <c r="J25" s="11" t="s">
        <v>370</v>
      </c>
      <c r="L25" s="11">
        <f>INDEX(desa!A:A,MATCH(B25,desa!B:B,0))</f>
        <v>5</v>
      </c>
      <c r="M25" s="17" t="s">
        <v>460</v>
      </c>
      <c r="N25" s="11" t="str">
        <f t="shared" si="0"/>
        <v>('5;Lemak Jati;Lanjut;Muhammad;35;47;-8.6150733, 116.8525662;Jagung;Aktif;POKTAN'),</v>
      </c>
    </row>
    <row r="26" spans="1:14" s="11" customFormat="1" ht="20.5" customHeight="1">
      <c r="A26" s="15">
        <v>24</v>
      </c>
      <c r="B26" s="11" t="s">
        <v>320</v>
      </c>
      <c r="C26" s="11" t="s">
        <v>196</v>
      </c>
      <c r="D26" s="11" t="s">
        <v>319</v>
      </c>
      <c r="E26" s="11" t="s">
        <v>195</v>
      </c>
      <c r="F26" s="15">
        <v>9</v>
      </c>
      <c r="G26" s="22"/>
      <c r="I26" s="11" t="s">
        <v>447</v>
      </c>
      <c r="J26" s="11" t="s">
        <v>378</v>
      </c>
      <c r="L26" s="11">
        <f>INDEX(desa!A:A,MATCH(B26,desa!B:B,0))</f>
        <v>5</v>
      </c>
      <c r="M26" s="17" t="s">
        <v>460</v>
      </c>
      <c r="N26" s="11" t="str">
        <f t="shared" si="0"/>
        <v>('5;Lawang Desa;Pemula;Muhammad Arifin;9;;;Peternakan;Tidak Aktif;POKTAN'),</v>
      </c>
    </row>
    <row r="27" spans="1:14" s="11" customFormat="1" ht="20.5" customHeight="1">
      <c r="A27" s="15">
        <v>25</v>
      </c>
      <c r="B27" s="11" t="s">
        <v>320</v>
      </c>
      <c r="C27" s="11" t="s">
        <v>198</v>
      </c>
      <c r="D27" s="11" t="s">
        <v>319</v>
      </c>
      <c r="E27" s="11" t="s">
        <v>197</v>
      </c>
      <c r="F27" s="15">
        <v>25</v>
      </c>
      <c r="G27" s="22">
        <v>32</v>
      </c>
      <c r="H27" s="21" t="s">
        <v>349</v>
      </c>
      <c r="I27" s="11" t="s">
        <v>334</v>
      </c>
      <c r="J27" s="11" t="s">
        <v>370</v>
      </c>
      <c r="L27" s="11">
        <f>INDEX(desa!A:A,MATCH(B27,desa!B:B,0))</f>
        <v>5</v>
      </c>
      <c r="M27" s="17" t="s">
        <v>460</v>
      </c>
      <c r="N27" s="11" t="str">
        <f t="shared" si="0"/>
        <v>('5;Kuang Rea;Pemula;Kasem;25;32;-8.57735, 116.82529833333335;Jagung;Aktif;POKTAN'),</v>
      </c>
    </row>
    <row r="28" spans="1:14" s="11" customFormat="1" ht="20.5" customHeight="1">
      <c r="A28" s="15">
        <v>26</v>
      </c>
      <c r="B28" s="11" t="s">
        <v>320</v>
      </c>
      <c r="C28" s="11" t="s">
        <v>200</v>
      </c>
      <c r="D28" s="11" t="s">
        <v>319</v>
      </c>
      <c r="E28" s="11" t="s">
        <v>199</v>
      </c>
      <c r="F28" s="15">
        <v>38</v>
      </c>
      <c r="G28" s="22">
        <v>10</v>
      </c>
      <c r="H28" s="21" t="s">
        <v>369</v>
      </c>
      <c r="I28" s="11" t="s">
        <v>361</v>
      </c>
      <c r="J28" s="11" t="s">
        <v>370</v>
      </c>
      <c r="L28" s="11">
        <f>INDEX(desa!A:A,MATCH(B28,desa!B:B,0))</f>
        <v>5</v>
      </c>
      <c r="M28" s="17" t="s">
        <v>460</v>
      </c>
      <c r="N28" s="11" t="str">
        <f t="shared" si="0"/>
        <v>('5;Sumer Loka;Pemula;Sopian Hadi;38;10;-8.616885, 116.85311833333331;Padi;Aktif;POKTAN'),</v>
      </c>
    </row>
    <row r="29" spans="1:14" s="11" customFormat="1" ht="20.5" customHeight="1">
      <c r="A29" s="15">
        <v>27</v>
      </c>
      <c r="B29" s="11" t="s">
        <v>320</v>
      </c>
      <c r="C29" s="11" t="s">
        <v>202</v>
      </c>
      <c r="D29" s="11" t="s">
        <v>319</v>
      </c>
      <c r="E29" s="11" t="s">
        <v>201</v>
      </c>
      <c r="F29" s="15">
        <v>23</v>
      </c>
      <c r="G29" s="22">
        <v>48</v>
      </c>
      <c r="H29" s="21" t="s">
        <v>345</v>
      </c>
      <c r="I29" s="11" t="s">
        <v>334</v>
      </c>
      <c r="J29" s="11" t="s">
        <v>370</v>
      </c>
      <c r="L29" s="11">
        <f>INDEX(desa!A:A,MATCH(B29,desa!B:B,0))</f>
        <v>5</v>
      </c>
      <c r="M29" s="17" t="s">
        <v>460</v>
      </c>
      <c r="N29" s="11" t="str">
        <f t="shared" si="0"/>
        <v>('5;Unter pasi;Pemula;Zaeddun;23;48;-8.580112, 116.8190623;Jagung;Aktif;POKTAN'),</v>
      </c>
    </row>
    <row r="30" spans="1:14" s="11" customFormat="1" ht="20.5" customHeight="1">
      <c r="A30" s="15">
        <v>28</v>
      </c>
      <c r="B30" s="11" t="s">
        <v>320</v>
      </c>
      <c r="C30" s="11" t="s">
        <v>204</v>
      </c>
      <c r="D30" s="11" t="s">
        <v>319</v>
      </c>
      <c r="E30" s="11" t="s">
        <v>203</v>
      </c>
      <c r="F30" s="15">
        <v>35</v>
      </c>
      <c r="G30" s="22">
        <v>54</v>
      </c>
      <c r="H30" s="21" t="s">
        <v>358</v>
      </c>
      <c r="I30" s="11" t="s">
        <v>334</v>
      </c>
      <c r="J30" s="11" t="s">
        <v>370</v>
      </c>
      <c r="L30" s="11">
        <f>INDEX(desa!A:A,MATCH(B30,desa!B:B,0))</f>
        <v>5</v>
      </c>
      <c r="M30" s="17" t="s">
        <v>460</v>
      </c>
      <c r="N30" s="11" t="str">
        <f t="shared" si="0"/>
        <v>('5;Ai Rawa;Pemula;Supardi;35;54;-8.595295, 116.838395;Jagung;Aktif;POKTAN'),</v>
      </c>
    </row>
    <row r="31" spans="1:14" s="11" customFormat="1" ht="20.5" customHeight="1">
      <c r="A31" s="15">
        <v>29</v>
      </c>
      <c r="B31" s="11" t="s">
        <v>320</v>
      </c>
      <c r="C31" s="11" t="s">
        <v>210</v>
      </c>
      <c r="D31" s="11" t="s">
        <v>319</v>
      </c>
      <c r="E31" s="11" t="s">
        <v>209</v>
      </c>
      <c r="F31" s="15">
        <v>33</v>
      </c>
      <c r="G31" s="22">
        <v>10</v>
      </c>
      <c r="H31" s="21" t="s">
        <v>367</v>
      </c>
      <c r="I31" s="11" t="s">
        <v>361</v>
      </c>
      <c r="J31" s="11" t="s">
        <v>370</v>
      </c>
      <c r="L31" s="11">
        <f>INDEX(desa!A:A,MATCH(B31,desa!B:B,0))</f>
        <v>5</v>
      </c>
      <c r="M31" s="17" t="s">
        <v>460</v>
      </c>
      <c r="N31" s="11" t="str">
        <f t="shared" si="0"/>
        <v>('5;Sate Maju;Pemula;Hadi Sucipto;33;10;-8.6169516666666667, 116.852855;Padi;Aktif;POKTAN'),</v>
      </c>
    </row>
    <row r="32" spans="1:14" s="11" customFormat="1" ht="20.5" customHeight="1">
      <c r="A32" s="15">
        <v>30</v>
      </c>
      <c r="B32" s="11" t="s">
        <v>320</v>
      </c>
      <c r="C32" s="11" t="s">
        <v>225</v>
      </c>
      <c r="D32" s="11" t="s">
        <v>319</v>
      </c>
      <c r="E32" s="11" t="s">
        <v>167</v>
      </c>
      <c r="F32" s="15">
        <v>9</v>
      </c>
      <c r="G32" s="22"/>
      <c r="I32" s="11" t="s">
        <v>447</v>
      </c>
      <c r="J32" s="11" t="s">
        <v>378</v>
      </c>
      <c r="L32" s="11">
        <f>INDEX(desa!A:A,MATCH(B32,desa!B:B,0))</f>
        <v>5</v>
      </c>
      <c r="M32" s="17" t="s">
        <v>460</v>
      </c>
      <c r="N32" s="11" t="str">
        <f t="shared" si="0"/>
        <v>('5;Tengkal Telutu;Pemula;Burhanuddin;9;;;Peternakan;Tidak Aktif;POKTAN'),</v>
      </c>
    </row>
    <row r="33" spans="1:14" s="11" customFormat="1" ht="20.5" customHeight="1">
      <c r="A33" s="15">
        <v>31</v>
      </c>
      <c r="B33" s="11" t="s">
        <v>320</v>
      </c>
      <c r="C33" s="11" t="s">
        <v>82</v>
      </c>
      <c r="D33" s="11" t="s">
        <v>319</v>
      </c>
      <c r="E33" s="11" t="s">
        <v>81</v>
      </c>
      <c r="F33" s="15">
        <v>34</v>
      </c>
      <c r="G33" s="22">
        <v>45</v>
      </c>
      <c r="H33" s="21" t="s">
        <v>351</v>
      </c>
      <c r="I33" s="11" t="s">
        <v>334</v>
      </c>
      <c r="J33" s="11" t="s">
        <v>370</v>
      </c>
      <c r="L33" s="11">
        <f>INDEX(desa!A:A,MATCH(B33,desa!B:B,0))</f>
        <v>5</v>
      </c>
      <c r="M33" s="17" t="s">
        <v>460</v>
      </c>
      <c r="N33" s="11" t="str">
        <f t="shared" si="0"/>
        <v>('5;Alam Subur II;Pemula;Syarifuddin;34;45;-8.61541, 116.84525166666666;Jagung;Aktif;POKTAN'),</v>
      </c>
    </row>
    <row r="34" spans="1:14" s="11" customFormat="1" ht="20.5" customHeight="1">
      <c r="A34" s="15">
        <v>32</v>
      </c>
      <c r="B34" s="11" t="s">
        <v>320</v>
      </c>
      <c r="C34" s="11" t="s">
        <v>243</v>
      </c>
      <c r="D34" s="11" t="s">
        <v>319</v>
      </c>
      <c r="E34" s="11" t="s">
        <v>242</v>
      </c>
      <c r="F34" s="15">
        <v>0</v>
      </c>
      <c r="G34" s="22"/>
      <c r="J34" s="11" t="s">
        <v>378</v>
      </c>
      <c r="L34" s="11">
        <f>INDEX(desa!A:A,MATCH(B34,desa!B:B,0))</f>
        <v>5</v>
      </c>
      <c r="M34" s="17" t="s">
        <v>460</v>
      </c>
      <c r="N34" s="11" t="str">
        <f t="shared" si="0"/>
        <v>('5;Harapan Suci;Pemula;Syamsul Lutfi;0;;;;Tidak Aktif;POKTAN'),</v>
      </c>
    </row>
    <row r="35" spans="1:14" s="11" customFormat="1" ht="20.5" customHeight="1">
      <c r="A35" s="15">
        <v>33</v>
      </c>
      <c r="B35" s="11" t="s">
        <v>320</v>
      </c>
      <c r="C35" s="11" t="s">
        <v>244</v>
      </c>
      <c r="D35" s="11" t="s">
        <v>319</v>
      </c>
      <c r="E35" s="11" t="s">
        <v>310</v>
      </c>
      <c r="F35" s="15">
        <v>4</v>
      </c>
      <c r="G35" s="22"/>
      <c r="I35" s="11" t="s">
        <v>447</v>
      </c>
      <c r="J35" s="11" t="s">
        <v>378</v>
      </c>
      <c r="L35" s="11">
        <f>INDEX(desa!A:A,MATCH(B35,desa!B:B,0))</f>
        <v>5</v>
      </c>
      <c r="M35" s="17" t="s">
        <v>460</v>
      </c>
      <c r="N35" s="11" t="str">
        <f t="shared" si="0"/>
        <v>('5;Usaha Baru;Pemula;Fatri Murti;4;;;Peternakan;Tidak Aktif;POKTAN'),</v>
      </c>
    </row>
    <row r="36" spans="1:14" s="11" customFormat="1" ht="20.5" customHeight="1">
      <c r="A36" s="15">
        <v>34</v>
      </c>
      <c r="B36" s="11" t="s">
        <v>320</v>
      </c>
      <c r="C36" s="11" t="s">
        <v>296</v>
      </c>
      <c r="D36" s="11" t="s">
        <v>319</v>
      </c>
      <c r="E36" s="11" t="s">
        <v>246</v>
      </c>
      <c r="F36" s="15">
        <v>22</v>
      </c>
      <c r="G36" s="22">
        <v>45</v>
      </c>
      <c r="H36" s="21" t="s">
        <v>344</v>
      </c>
      <c r="I36" s="11" t="s">
        <v>334</v>
      </c>
      <c r="J36" s="11" t="s">
        <v>370</v>
      </c>
      <c r="L36" s="11">
        <f>INDEX(desa!A:A,MATCH(B36,desa!B:B,0))</f>
        <v>5</v>
      </c>
      <c r="M36" s="17" t="s">
        <v>460</v>
      </c>
      <c r="N36" s="11" t="str">
        <f t="shared" si="0"/>
        <v>('5;Ai lawang;Pemula;Kaharuddin;22;45;-8.590275, 116.83659333333331;Jagung;Aktif;POKTAN'),</v>
      </c>
    </row>
    <row r="37" spans="1:14" s="11" customFormat="1" ht="20.5" customHeight="1">
      <c r="A37" s="15">
        <v>35</v>
      </c>
      <c r="B37" s="11" t="s">
        <v>320</v>
      </c>
      <c r="C37" s="11" t="s">
        <v>247</v>
      </c>
      <c r="D37" s="11" t="s">
        <v>319</v>
      </c>
      <c r="E37" s="11" t="s">
        <v>118</v>
      </c>
      <c r="F37" s="15">
        <v>4</v>
      </c>
      <c r="G37" s="22"/>
      <c r="I37" s="11" t="s">
        <v>448</v>
      </c>
      <c r="J37" s="11" t="s">
        <v>378</v>
      </c>
      <c r="L37" s="11">
        <f>INDEX(desa!A:A,MATCH(B37,desa!B:B,0))</f>
        <v>5</v>
      </c>
      <c r="M37" s="17" t="s">
        <v>460</v>
      </c>
      <c r="N37" s="11" t="str">
        <f t="shared" si="0"/>
        <v>('5;Satutu Niat;Pemula;A. Wahab;4;;;Peternkan;Tidak Aktif;POKTAN'),</v>
      </c>
    </row>
    <row r="38" spans="1:14" s="11" customFormat="1" ht="20.5" customHeight="1">
      <c r="A38" s="15">
        <v>36</v>
      </c>
      <c r="B38" s="11" t="s">
        <v>320</v>
      </c>
      <c r="C38" s="11" t="s">
        <v>249</v>
      </c>
      <c r="D38" s="11" t="s">
        <v>319</v>
      </c>
      <c r="E38" s="11" t="s">
        <v>248</v>
      </c>
      <c r="F38" s="15">
        <v>43</v>
      </c>
      <c r="G38" s="22">
        <v>45</v>
      </c>
      <c r="H38" s="21" t="s">
        <v>357</v>
      </c>
      <c r="I38" s="11" t="s">
        <v>334</v>
      </c>
      <c r="J38" s="11" t="s">
        <v>370</v>
      </c>
      <c r="L38" s="11">
        <f>INDEX(desa!A:A,MATCH(B38,desa!B:B,0))</f>
        <v>5</v>
      </c>
      <c r="M38" s="17" t="s">
        <v>460</v>
      </c>
      <c r="N38" s="11" t="str">
        <f t="shared" si="0"/>
        <v>('5;Ai Jorok;Pemula;Bambang Hermanto;43;45;-8.59509, 116.84141666666667;Jagung;Aktif;POKTAN'),</v>
      </c>
    </row>
    <row r="39" spans="1:14" s="11" customFormat="1" ht="20.5" customHeight="1">
      <c r="A39" s="15">
        <v>37</v>
      </c>
      <c r="B39" s="11" t="s">
        <v>320</v>
      </c>
      <c r="C39" s="11" t="s">
        <v>462</v>
      </c>
      <c r="D39" s="11" t="s">
        <v>319</v>
      </c>
      <c r="E39" s="11" t="s">
        <v>295</v>
      </c>
      <c r="F39" s="15">
        <v>8</v>
      </c>
      <c r="G39" s="22"/>
      <c r="I39" s="11" t="s">
        <v>449</v>
      </c>
      <c r="J39" s="11" t="s">
        <v>378</v>
      </c>
      <c r="L39" s="11">
        <f>INDEX(desa!A:A,MATCH(B39,desa!B:B,0))</f>
        <v>5</v>
      </c>
      <c r="M39" s="17" t="s">
        <v>460</v>
      </c>
      <c r="N39" s="11" t="str">
        <f t="shared" si="0"/>
        <v>('5;Ai Gali;Pemula;Ibrahim;8;;;Peternkaan;Tidak Aktif;POKTAN'),</v>
      </c>
    </row>
    <row r="40" spans="1:14" s="11" customFormat="1" ht="20.5" customHeight="1">
      <c r="A40" s="15">
        <v>38</v>
      </c>
      <c r="B40" s="11" t="s">
        <v>320</v>
      </c>
      <c r="C40" s="11" t="s">
        <v>463</v>
      </c>
      <c r="D40" s="11" t="s">
        <v>319</v>
      </c>
      <c r="E40" s="11" t="s">
        <v>354</v>
      </c>
      <c r="F40" s="15">
        <v>11</v>
      </c>
      <c r="G40" s="22">
        <v>20</v>
      </c>
      <c r="H40" s="21" t="s">
        <v>356</v>
      </c>
      <c r="I40" s="11" t="s">
        <v>334</v>
      </c>
      <c r="J40" s="11" t="s">
        <v>370</v>
      </c>
      <c r="L40" s="11">
        <f>INDEX(desa!A:A,MATCH(B40,desa!B:B,0))</f>
        <v>5</v>
      </c>
      <c r="M40" s="17" t="s">
        <v>460</v>
      </c>
      <c r="N40" s="11" t="str">
        <f t="shared" si="0"/>
        <v>('5;Unter Pasi II;Pemula;Mandru;11;20;-8.5831, 116.831105;Jagung;Aktif;POKTAN'),</v>
      </c>
    </row>
    <row r="41" spans="1:14" s="11" customFormat="1" ht="20.5" customHeight="1">
      <c r="A41" s="15">
        <v>39</v>
      </c>
      <c r="B41" s="11" t="s">
        <v>320</v>
      </c>
      <c r="C41" s="11" t="s">
        <v>260</v>
      </c>
      <c r="D41" s="11" t="s">
        <v>319</v>
      </c>
      <c r="E41" s="11" t="s">
        <v>259</v>
      </c>
      <c r="F41" s="15">
        <v>30</v>
      </c>
      <c r="G41" s="22">
        <v>34</v>
      </c>
      <c r="H41" s="21" t="s">
        <v>355</v>
      </c>
      <c r="I41" s="11" t="s">
        <v>334</v>
      </c>
      <c r="J41" s="11" t="s">
        <v>370</v>
      </c>
      <c r="L41" s="11">
        <f>INDEX(desa!A:A,MATCH(B41,desa!B:B,0))</f>
        <v>5</v>
      </c>
      <c r="M41" s="17" t="s">
        <v>460</v>
      </c>
      <c r="N41" s="11" t="str">
        <f t="shared" si="0"/>
        <v>('5;Jorok Mata Malam;Pemula;Mustaram;30;34;-8.58198, 116.84366166666665;Jagung;Aktif;POKTAN'),</v>
      </c>
    </row>
    <row r="42" spans="1:14" s="11" customFormat="1" ht="20.5" customHeight="1">
      <c r="A42" s="15">
        <v>40</v>
      </c>
      <c r="B42" s="11" t="s">
        <v>320</v>
      </c>
      <c r="C42" s="11" t="s">
        <v>194</v>
      </c>
      <c r="D42" s="11" t="s">
        <v>319</v>
      </c>
      <c r="E42" s="11" t="s">
        <v>263</v>
      </c>
      <c r="F42" s="15">
        <v>17</v>
      </c>
      <c r="G42" s="22">
        <v>34</v>
      </c>
      <c r="H42" s="21" t="s">
        <v>341</v>
      </c>
      <c r="I42" s="11" t="s">
        <v>334</v>
      </c>
      <c r="J42" s="11" t="s">
        <v>370</v>
      </c>
      <c r="L42" s="11">
        <f>INDEX(desa!A:A,MATCH(B42,desa!B:B,0))</f>
        <v>5</v>
      </c>
      <c r="M42" s="17" t="s">
        <v>460</v>
      </c>
      <c r="N42" s="11" t="str">
        <f t="shared" si="0"/>
        <v>('5;Jorok Kaset;Pemula;Suhardiman;17;34;-8.609255, 116.85226833333333;Jagung;Aktif;POKTAN'),</v>
      </c>
    </row>
    <row r="43" spans="1:14" s="11" customFormat="1" ht="20.5" customHeight="1">
      <c r="A43" s="15">
        <v>41</v>
      </c>
      <c r="B43" s="11" t="s">
        <v>320</v>
      </c>
      <c r="C43" s="11" t="s">
        <v>265</v>
      </c>
      <c r="D43" s="11" t="s">
        <v>319</v>
      </c>
      <c r="E43" s="11" t="s">
        <v>264</v>
      </c>
      <c r="F43" s="15">
        <v>24</v>
      </c>
      <c r="G43" s="22">
        <v>33</v>
      </c>
      <c r="H43" s="21" t="s">
        <v>375</v>
      </c>
      <c r="I43" s="11" t="s">
        <v>334</v>
      </c>
      <c r="J43" s="11" t="s">
        <v>370</v>
      </c>
      <c r="L43" s="11">
        <f>INDEX(desa!A:A,MATCH(B43,desa!B:B,0))</f>
        <v>5</v>
      </c>
      <c r="M43" s="17" t="s">
        <v>460</v>
      </c>
      <c r="N43" s="11" t="str">
        <f t="shared" si="0"/>
        <v>('5;Saling Pariri;Pemula;Ramli;24;33;-8.579905, '116.84430166666668;Jagung;Aktif;POKTAN'),</v>
      </c>
    </row>
    <row r="44" spans="1:14" s="11" customFormat="1" ht="20.5" customHeight="1">
      <c r="A44" s="15">
        <v>42</v>
      </c>
      <c r="B44" s="11" t="s">
        <v>320</v>
      </c>
      <c r="C44" s="11" t="s">
        <v>279</v>
      </c>
      <c r="D44" s="11" t="s">
        <v>319</v>
      </c>
      <c r="E44" s="11" t="s">
        <v>278</v>
      </c>
      <c r="F44" s="15">
        <v>20</v>
      </c>
      <c r="G44" s="22">
        <v>20</v>
      </c>
      <c r="H44" s="21" t="s">
        <v>359</v>
      </c>
      <c r="I44" s="11" t="s">
        <v>334</v>
      </c>
      <c r="J44" s="11" t="s">
        <v>370</v>
      </c>
      <c r="L44" s="11">
        <f>INDEX(desa!A:A,MATCH(B44,desa!B:B,0))</f>
        <v>5</v>
      </c>
      <c r="M44" s="17" t="s">
        <v>460</v>
      </c>
      <c r="N44" s="11" t="str">
        <f t="shared" si="0"/>
        <v>('5;Jorok Kaset II;Pemula;Jufriadi;20;20;-8.609285, 116.85236166666667;Jagung;Aktif;POKTAN'),</v>
      </c>
    </row>
    <row r="45" spans="1:14" s="11" customFormat="1" ht="20.5" customHeight="1">
      <c r="A45" s="15">
        <v>43</v>
      </c>
      <c r="B45" s="11" t="s">
        <v>320</v>
      </c>
      <c r="C45" s="11" t="s">
        <v>297</v>
      </c>
      <c r="D45" s="11" t="s">
        <v>319</v>
      </c>
      <c r="E45" s="11" t="s">
        <v>281</v>
      </c>
      <c r="F45" s="15">
        <v>3</v>
      </c>
      <c r="G45" s="22"/>
      <c r="I45" s="11" t="s">
        <v>371</v>
      </c>
      <c r="J45" s="11" t="s">
        <v>370</v>
      </c>
      <c r="L45" s="11">
        <f>INDEX(desa!A:A,MATCH(B45,desa!B:B,0))</f>
        <v>5</v>
      </c>
      <c r="M45" s="17" t="s">
        <v>460</v>
      </c>
      <c r="N45" s="11" t="str">
        <f t="shared" si="0"/>
        <v>('5;Al Bidayah;Pemula;Mahsun;3;;;Hortikultura;Aktif;POKTAN'),</v>
      </c>
    </row>
    <row r="46" spans="1:14" s="11" customFormat="1" ht="20.5" customHeight="1">
      <c r="A46" s="15">
        <v>44</v>
      </c>
      <c r="B46" s="11" t="s">
        <v>320</v>
      </c>
      <c r="C46" s="11" t="s">
        <v>464</v>
      </c>
      <c r="D46" s="11" t="s">
        <v>319</v>
      </c>
      <c r="E46" s="11" t="s">
        <v>305</v>
      </c>
      <c r="F46" s="15"/>
      <c r="G46" s="22"/>
      <c r="I46" s="11" t="s">
        <v>371</v>
      </c>
      <c r="J46" s="11" t="s">
        <v>370</v>
      </c>
      <c r="L46" s="11">
        <f>INDEX(desa!A:A,MATCH(B46,desa!B:B,0))</f>
        <v>5</v>
      </c>
      <c r="M46" s="17" t="s">
        <v>460</v>
      </c>
      <c r="N46" s="11" t="str">
        <f t="shared" si="0"/>
        <v>('5;Ingin Maju;Pemula;Supiarno;;;;Hortikultura;Aktif;POKTAN'),</v>
      </c>
    </row>
    <row r="47" spans="1:14" s="11" customFormat="1" ht="20.5" customHeight="1">
      <c r="A47" s="15">
        <v>45</v>
      </c>
      <c r="B47" s="11" t="s">
        <v>320</v>
      </c>
      <c r="C47" s="11" t="s">
        <v>465</v>
      </c>
      <c r="D47" s="11" t="s">
        <v>319</v>
      </c>
      <c r="E47" s="11" t="s">
        <v>165</v>
      </c>
      <c r="F47" s="15">
        <v>4</v>
      </c>
      <c r="G47" s="22"/>
      <c r="I47" s="11" t="s">
        <v>371</v>
      </c>
      <c r="J47" s="11" t="s">
        <v>370</v>
      </c>
      <c r="L47" s="11">
        <f>INDEX(desa!A:A,MATCH(B47,desa!B:B,0))</f>
        <v>5</v>
      </c>
      <c r="M47" s="17" t="s">
        <v>460</v>
      </c>
      <c r="N47" s="11" t="str">
        <f t="shared" si="0"/>
        <v>('5;Amanah Ai Olat;Pemula;H. Mursidi;4;;;Hortikultura;Aktif;POKTAN'),</v>
      </c>
    </row>
    <row r="48" spans="1:14" s="11" customFormat="1" ht="20.5" customHeight="1">
      <c r="A48" s="15">
        <v>46</v>
      </c>
      <c r="B48" s="11" t="s">
        <v>320</v>
      </c>
      <c r="C48" s="11" t="s">
        <v>466</v>
      </c>
      <c r="D48" s="11" t="s">
        <v>319</v>
      </c>
      <c r="E48" s="11" t="s">
        <v>306</v>
      </c>
      <c r="F48" s="15">
        <v>1</v>
      </c>
      <c r="G48" s="22"/>
      <c r="I48" s="11" t="s">
        <v>371</v>
      </c>
      <c r="J48" s="11" t="s">
        <v>370</v>
      </c>
      <c r="L48" s="11">
        <f>INDEX(desa!A:A,MATCH(B48,desa!B:B,0))</f>
        <v>5</v>
      </c>
      <c r="M48" s="17" t="s">
        <v>460</v>
      </c>
      <c r="N48" s="11" t="str">
        <f t="shared" si="0"/>
        <v>('5;Sama Rua;Pemula;Sabram;1;;;Hortikultura;Aktif;POKTAN'),</v>
      </c>
    </row>
    <row r="49" spans="1:14" s="11" customFormat="1" ht="20.5" customHeight="1">
      <c r="A49" s="15">
        <v>47</v>
      </c>
      <c r="B49" s="11" t="s">
        <v>320</v>
      </c>
      <c r="C49" s="11" t="s">
        <v>467</v>
      </c>
      <c r="D49" s="11" t="s">
        <v>319</v>
      </c>
      <c r="E49" s="11" t="s">
        <v>307</v>
      </c>
      <c r="F49" s="15">
        <v>6</v>
      </c>
      <c r="G49" s="22"/>
      <c r="I49" s="11" t="s">
        <v>371</v>
      </c>
      <c r="J49" s="11" t="s">
        <v>370</v>
      </c>
      <c r="L49" s="11">
        <f>INDEX(desa!A:A,MATCH(B49,desa!B:B,0))</f>
        <v>5</v>
      </c>
      <c r="M49" s="17" t="s">
        <v>460</v>
      </c>
      <c r="N49" s="11" t="str">
        <f t="shared" si="0"/>
        <v>('5;Petak Berjaya;Pemula;Susi Susanti;6;;;Hortikultura;Aktif;POKTAN'),</v>
      </c>
    </row>
    <row r="50" spans="1:14" s="11" customFormat="1" ht="20.5" customHeight="1">
      <c r="A50" s="15">
        <v>48</v>
      </c>
      <c r="B50" s="11" t="s">
        <v>320</v>
      </c>
      <c r="C50" s="11" t="s">
        <v>468</v>
      </c>
      <c r="D50" s="11" t="s">
        <v>319</v>
      </c>
      <c r="E50" s="11" t="s">
        <v>308</v>
      </c>
      <c r="F50" s="15">
        <v>3</v>
      </c>
      <c r="G50" s="22"/>
      <c r="I50" s="11" t="s">
        <v>371</v>
      </c>
      <c r="J50" s="11" t="s">
        <v>370</v>
      </c>
      <c r="L50" s="11">
        <f>INDEX(desa!A:A,MATCH(B50,desa!B:B,0))</f>
        <v>5</v>
      </c>
      <c r="M50" s="17" t="s">
        <v>460</v>
      </c>
      <c r="N50" s="11" t="str">
        <f t="shared" si="0"/>
        <v>('5;Nahdathul Wathan;Pemula;M. Zainudin Mansur;3;;;Hortikultura;Aktif;POKTAN'),</v>
      </c>
    </row>
    <row r="51" spans="1:14" s="11" customFormat="1" ht="20.5" customHeight="1">
      <c r="A51" s="15">
        <v>49</v>
      </c>
      <c r="B51" s="11" t="s">
        <v>320</v>
      </c>
      <c r="C51" s="11" t="s">
        <v>290</v>
      </c>
      <c r="D51" s="11" t="s">
        <v>319</v>
      </c>
      <c r="E51" s="11" t="s">
        <v>289</v>
      </c>
      <c r="F51" s="15"/>
      <c r="G51" s="22"/>
      <c r="I51" s="11" t="s">
        <v>371</v>
      </c>
      <c r="J51" s="11" t="s">
        <v>370</v>
      </c>
      <c r="L51" s="11">
        <f>INDEX(desa!A:A,MATCH(B51,desa!B:B,0))</f>
        <v>5</v>
      </c>
      <c r="M51" s="17" t="s">
        <v>460</v>
      </c>
      <c r="N51" s="11" t="str">
        <f t="shared" si="0"/>
        <v>('5;Harapan Jaya Agro;Pemula;M. Zuhri SP;;;;Hortikultura;Aktif;POKTAN'),</v>
      </c>
    </row>
    <row r="52" spans="1:14" s="11" customFormat="1" ht="20.5" customHeight="1">
      <c r="A52" s="15">
        <v>50</v>
      </c>
      <c r="B52" s="11" t="s">
        <v>320</v>
      </c>
      <c r="C52" s="11" t="s">
        <v>469</v>
      </c>
      <c r="D52" s="11" t="s">
        <v>319</v>
      </c>
      <c r="E52" s="11" t="s">
        <v>309</v>
      </c>
      <c r="F52" s="15">
        <v>5</v>
      </c>
      <c r="G52" s="22"/>
      <c r="I52" s="11" t="s">
        <v>371</v>
      </c>
      <c r="J52" s="11" t="s">
        <v>370</v>
      </c>
      <c r="L52" s="11">
        <f>INDEX(desa!A:A,MATCH(B52,desa!B:B,0))</f>
        <v>5</v>
      </c>
      <c r="M52" s="17" t="s">
        <v>460</v>
      </c>
      <c r="N52" s="11" t="str">
        <f t="shared" si="0"/>
        <v>('5;Lets Grow;Pemula;Kalsum;5;;;Hortikultura;Aktif;POKTAN'),</v>
      </c>
    </row>
    <row r="53" spans="1:14" s="11" customFormat="1" ht="20.5" customHeight="1">
      <c r="A53" s="15">
        <v>51</v>
      </c>
      <c r="B53" s="11" t="s">
        <v>320</v>
      </c>
      <c r="C53" s="11" t="s">
        <v>470</v>
      </c>
      <c r="D53" s="11" t="s">
        <v>319</v>
      </c>
      <c r="E53" s="11" t="s">
        <v>374</v>
      </c>
      <c r="F53" s="15"/>
      <c r="G53" s="22"/>
      <c r="I53" s="11" t="s">
        <v>446</v>
      </c>
      <c r="J53" s="11" t="s">
        <v>370</v>
      </c>
      <c r="L53" s="11">
        <f>INDEX(desa!A:A,MATCH(B53,desa!B:B,0))</f>
        <v>5</v>
      </c>
      <c r="M53" s="17" t="s">
        <v>460</v>
      </c>
      <c r="N53" s="11" t="str">
        <f t="shared" si="0"/>
        <v>('5;KWT Merica Putih;Pemula;Reny;;;;Pengolahan Hasil Pertanian;Aktif;POKTAN'),</v>
      </c>
    </row>
    <row r="54" spans="1:14" s="11" customFormat="1" ht="20.5" customHeight="1">
      <c r="A54" s="15">
        <v>52</v>
      </c>
      <c r="B54" s="11" t="s">
        <v>326</v>
      </c>
      <c r="C54" s="11" t="s">
        <v>130</v>
      </c>
      <c r="E54" s="11" t="s">
        <v>439</v>
      </c>
      <c r="F54" s="15">
        <v>16</v>
      </c>
      <c r="G54" s="22">
        <v>8.44</v>
      </c>
      <c r="I54" s="11" t="s">
        <v>450</v>
      </c>
      <c r="J54" s="11" t="s">
        <v>370</v>
      </c>
      <c r="L54" s="11">
        <f>INDEX(desa!A:A,MATCH(B54,desa!B:B,0))</f>
        <v>3</v>
      </c>
      <c r="M54" s="17" t="s">
        <v>460</v>
      </c>
      <c r="N54" s="11" t="str">
        <f t="shared" si="0"/>
        <v>('3;Ai Kolang;;Hery firmanto;16;8.44;;Tanaman Pangan;Aktif;POKTAN'),</v>
      </c>
    </row>
    <row r="55" spans="1:14" s="11" customFormat="1" ht="20.5" customHeight="1">
      <c r="A55" s="15">
        <v>53</v>
      </c>
      <c r="B55" s="11" t="s">
        <v>326</v>
      </c>
      <c r="C55" s="11" t="s">
        <v>132</v>
      </c>
      <c r="E55" s="11" t="s">
        <v>131</v>
      </c>
      <c r="F55" s="15">
        <v>16</v>
      </c>
      <c r="G55" s="22">
        <v>14.2</v>
      </c>
      <c r="I55" s="11" t="s">
        <v>450</v>
      </c>
      <c r="J55" s="11" t="s">
        <v>370</v>
      </c>
      <c r="L55" s="11">
        <f>INDEX(desa!A:A,MATCH(B55,desa!B:B,0))</f>
        <v>3</v>
      </c>
      <c r="M55" s="17" t="s">
        <v>460</v>
      </c>
      <c r="N55" s="11" t="str">
        <f t="shared" si="0"/>
        <v>('3;Ai Kamina;;A. Majid HS;16;14.2;;Tanaman Pangan;Aktif;POKTAN'),</v>
      </c>
    </row>
    <row r="56" spans="1:14" s="11" customFormat="1" ht="20.5" customHeight="1">
      <c r="A56" s="15">
        <v>54</v>
      </c>
      <c r="B56" s="11" t="s">
        <v>326</v>
      </c>
      <c r="C56" s="11" t="s">
        <v>134</v>
      </c>
      <c r="E56" s="11" t="s">
        <v>133</v>
      </c>
      <c r="F56" s="15">
        <v>28</v>
      </c>
      <c r="G56" s="22"/>
      <c r="I56" s="11" t="s">
        <v>450</v>
      </c>
      <c r="J56" s="11" t="s">
        <v>370</v>
      </c>
      <c r="L56" s="11">
        <f>INDEX(desa!A:A,MATCH(B56,desa!B:B,0))</f>
        <v>3</v>
      </c>
      <c r="M56" s="17" t="s">
        <v>460</v>
      </c>
      <c r="N56" s="11" t="str">
        <f t="shared" si="0"/>
        <v>('3;Brang Koe;;Zakariah Icing;28;;;Tanaman Pangan;Aktif;POKTAN'),</v>
      </c>
    </row>
    <row r="57" spans="1:14" s="11" customFormat="1" ht="20.5" customHeight="1">
      <c r="A57" s="15">
        <v>55</v>
      </c>
      <c r="B57" s="11" t="s">
        <v>326</v>
      </c>
      <c r="C57" s="11" t="s">
        <v>135</v>
      </c>
      <c r="E57" s="11" t="s">
        <v>440</v>
      </c>
      <c r="F57" s="15">
        <v>16</v>
      </c>
      <c r="G57" s="22">
        <v>6.13</v>
      </c>
      <c r="I57" s="11" t="s">
        <v>450</v>
      </c>
      <c r="J57" s="11" t="s">
        <v>370</v>
      </c>
      <c r="L57" s="11">
        <f>INDEX(desa!A:A,MATCH(B57,desa!B:B,0))</f>
        <v>3</v>
      </c>
      <c r="M57" s="17" t="s">
        <v>460</v>
      </c>
      <c r="N57" s="11" t="str">
        <f t="shared" si="0"/>
        <v>('3;Ai Ngare;;Hastipan;16;6.13;;Tanaman Pangan;Aktif;POKTAN'),</v>
      </c>
    </row>
    <row r="58" spans="1:14" s="11" customFormat="1" ht="20.5" customHeight="1">
      <c r="A58" s="15">
        <v>56</v>
      </c>
      <c r="B58" s="11" t="s">
        <v>326</v>
      </c>
      <c r="C58" s="11" t="s">
        <v>137</v>
      </c>
      <c r="E58" s="11" t="s">
        <v>136</v>
      </c>
      <c r="F58" s="15">
        <v>16</v>
      </c>
      <c r="G58" s="22">
        <v>9.9</v>
      </c>
      <c r="I58" s="11" t="s">
        <v>450</v>
      </c>
      <c r="J58" s="11" t="s">
        <v>370</v>
      </c>
      <c r="L58" s="11">
        <f>INDEX(desa!A:A,MATCH(B58,desa!B:B,0))</f>
        <v>3</v>
      </c>
      <c r="M58" s="17" t="s">
        <v>460</v>
      </c>
      <c r="N58" s="11" t="str">
        <f t="shared" si="0"/>
        <v>('3;Sakiki Rara;;Sabur S.AP;16;9.9;;Tanaman Pangan;Aktif;POKTAN'),</v>
      </c>
    </row>
    <row r="59" spans="1:14" s="11" customFormat="1" ht="20.5" customHeight="1">
      <c r="A59" s="15">
        <v>57</v>
      </c>
      <c r="B59" s="11" t="s">
        <v>326</v>
      </c>
      <c r="C59" s="11" t="s">
        <v>139</v>
      </c>
      <c r="E59" s="11" t="s">
        <v>138</v>
      </c>
      <c r="F59" s="15">
        <v>20</v>
      </c>
      <c r="G59" s="22">
        <v>20</v>
      </c>
      <c r="I59" s="11" t="s">
        <v>450</v>
      </c>
      <c r="J59" s="11" t="s">
        <v>370</v>
      </c>
      <c r="L59" s="11">
        <f>INDEX(desa!A:A,MATCH(B59,desa!B:B,0))</f>
        <v>3</v>
      </c>
      <c r="M59" s="17" t="s">
        <v>460</v>
      </c>
      <c r="N59" s="11" t="str">
        <f t="shared" si="0"/>
        <v>('3;Alam Hijau;;A. Rahman H Acim;20;20;;Tanaman Pangan;Aktif;POKTAN'),</v>
      </c>
    </row>
    <row r="60" spans="1:14" s="11" customFormat="1" ht="20.5" customHeight="1">
      <c r="A60" s="15">
        <v>58</v>
      </c>
      <c r="B60" s="11" t="s">
        <v>326</v>
      </c>
      <c r="C60" s="11" t="s">
        <v>141</v>
      </c>
      <c r="E60" s="11" t="s">
        <v>140</v>
      </c>
      <c r="F60" s="15">
        <v>17</v>
      </c>
      <c r="G60" s="22">
        <v>17</v>
      </c>
      <c r="I60" s="11" t="s">
        <v>450</v>
      </c>
      <c r="J60" s="11" t="s">
        <v>370</v>
      </c>
      <c r="L60" s="11">
        <f>INDEX(desa!A:A,MATCH(B60,desa!B:B,0))</f>
        <v>3</v>
      </c>
      <c r="M60" s="17" t="s">
        <v>460</v>
      </c>
      <c r="N60" s="11" t="str">
        <f t="shared" si="0"/>
        <v>('3;Datar Baruta;;Rudi Rasid;17;17;;Tanaman Pangan;Aktif;POKTAN'),</v>
      </c>
    </row>
    <row r="61" spans="1:14" s="11" customFormat="1" ht="20.5" customHeight="1">
      <c r="A61" s="15">
        <v>59</v>
      </c>
      <c r="B61" s="11" t="s">
        <v>326</v>
      </c>
      <c r="C61" s="11" t="s">
        <v>143</v>
      </c>
      <c r="E61" s="11" t="s">
        <v>142</v>
      </c>
      <c r="F61" s="15">
        <v>15</v>
      </c>
      <c r="G61" s="22">
        <v>15</v>
      </c>
      <c r="I61" s="11" t="s">
        <v>450</v>
      </c>
      <c r="J61" s="11" t="s">
        <v>370</v>
      </c>
      <c r="L61" s="11">
        <f>INDEX(desa!A:A,MATCH(B61,desa!B:B,0))</f>
        <v>3</v>
      </c>
      <c r="M61" s="17" t="s">
        <v>460</v>
      </c>
      <c r="N61" s="11" t="str">
        <f t="shared" si="0"/>
        <v>('3;Saling Satotang;;Hasanuddin;15;15;;Tanaman Pangan;Aktif;POKTAN'),</v>
      </c>
    </row>
    <row r="62" spans="1:14" s="11" customFormat="1" ht="20.5" customHeight="1">
      <c r="A62" s="15">
        <v>60</v>
      </c>
      <c r="B62" s="11" t="s">
        <v>326</v>
      </c>
      <c r="C62" s="11" t="s">
        <v>144</v>
      </c>
      <c r="E62" s="11" t="s">
        <v>443</v>
      </c>
      <c r="F62" s="15">
        <v>23</v>
      </c>
      <c r="G62" s="22">
        <v>23</v>
      </c>
      <c r="I62" s="11" t="s">
        <v>450</v>
      </c>
      <c r="J62" s="11" t="s">
        <v>370</v>
      </c>
      <c r="L62" s="11">
        <f>INDEX(desa!A:A,MATCH(B62,desa!B:B,0))</f>
        <v>3</v>
      </c>
      <c r="M62" s="17" t="s">
        <v>460</v>
      </c>
      <c r="N62" s="11" t="str">
        <f t="shared" si="0"/>
        <v>('3;Saling Pendi;;Rudi Saguni;23;23;;Tanaman Pangan;Aktif;POKTAN'),</v>
      </c>
    </row>
    <row r="63" spans="1:14" s="11" customFormat="1" ht="20.5" customHeight="1">
      <c r="A63" s="15">
        <v>61</v>
      </c>
      <c r="B63" s="11" t="s">
        <v>326</v>
      </c>
      <c r="C63" s="11" t="s">
        <v>471</v>
      </c>
      <c r="E63" s="11" t="s">
        <v>145</v>
      </c>
      <c r="F63" s="15">
        <v>15</v>
      </c>
      <c r="G63" s="22">
        <v>15</v>
      </c>
      <c r="I63" s="11" t="s">
        <v>450</v>
      </c>
      <c r="J63" s="11" t="s">
        <v>370</v>
      </c>
      <c r="L63" s="11">
        <f>INDEX(desa!A:A,MATCH(B63,desa!B:B,0))</f>
        <v>3</v>
      </c>
      <c r="M63" s="17" t="s">
        <v>460</v>
      </c>
      <c r="N63" s="11" t="str">
        <f t="shared" si="0"/>
        <v>('3;Sinar Sarean;;Sulaiman;15;15;;Tanaman Pangan;Aktif;POKTAN'),</v>
      </c>
    </row>
    <row r="64" spans="1:14" s="11" customFormat="1" ht="20.5" customHeight="1">
      <c r="A64" s="15">
        <v>62</v>
      </c>
      <c r="B64" s="11" t="s">
        <v>326</v>
      </c>
      <c r="C64" s="11" t="s">
        <v>147</v>
      </c>
      <c r="E64" s="11" t="s">
        <v>146</v>
      </c>
      <c r="F64" s="15">
        <v>23</v>
      </c>
      <c r="G64" s="22">
        <v>23</v>
      </c>
      <c r="I64" s="11" t="s">
        <v>450</v>
      </c>
      <c r="J64" s="11" t="s">
        <v>370</v>
      </c>
      <c r="L64" s="11">
        <f>INDEX(desa!A:A,MATCH(B64,desa!B:B,0))</f>
        <v>3</v>
      </c>
      <c r="M64" s="17" t="s">
        <v>460</v>
      </c>
      <c r="N64" s="11" t="str">
        <f t="shared" si="0"/>
        <v>('3;Unter Sarean;;Samsuddin;23;23;;Tanaman Pangan;Aktif;POKTAN'),</v>
      </c>
    </row>
    <row r="65" spans="1:14" s="11" customFormat="1" ht="20.5" customHeight="1">
      <c r="A65" s="15">
        <v>63</v>
      </c>
      <c r="B65" s="11" t="s">
        <v>326</v>
      </c>
      <c r="C65" s="11" t="s">
        <v>149</v>
      </c>
      <c r="E65" s="11" t="s">
        <v>148</v>
      </c>
      <c r="F65" s="15">
        <v>30</v>
      </c>
      <c r="G65" s="22">
        <v>10.94</v>
      </c>
      <c r="I65" s="11" t="s">
        <v>450</v>
      </c>
      <c r="J65" s="11" t="s">
        <v>370</v>
      </c>
      <c r="L65" s="11">
        <f>INDEX(desa!A:A,MATCH(B65,desa!B:B,0))</f>
        <v>3</v>
      </c>
      <c r="M65" s="17" t="s">
        <v>460</v>
      </c>
      <c r="N65" s="11" t="str">
        <f t="shared" si="0"/>
        <v>('3;Tunas Harapan;;Ahmad Daud;30;10.94;;Tanaman Pangan;Aktif;POKTAN'),</v>
      </c>
    </row>
    <row r="66" spans="1:14" s="11" customFormat="1" ht="20.5" customHeight="1">
      <c r="A66" s="15">
        <v>64</v>
      </c>
      <c r="B66" s="11" t="s">
        <v>326</v>
      </c>
      <c r="C66" s="11" t="s">
        <v>180</v>
      </c>
      <c r="E66" s="11" t="s">
        <v>441</v>
      </c>
      <c r="F66" s="15">
        <v>16</v>
      </c>
      <c r="G66" s="22">
        <v>12.6</v>
      </c>
      <c r="I66" s="11" t="s">
        <v>450</v>
      </c>
      <c r="J66" s="11" t="s">
        <v>370</v>
      </c>
      <c r="L66" s="11">
        <f>INDEX(desa!A:A,MATCH(B66,desa!B:B,0))</f>
        <v>3</v>
      </c>
      <c r="M66" s="17" t="s">
        <v>460</v>
      </c>
      <c r="N66" s="11" t="str">
        <f t="shared" si="0"/>
        <v>('3;Orong Desa;;Andi Momang;16;12.6;;Tanaman Pangan;Aktif;POKTAN'),</v>
      </c>
    </row>
    <row r="67" spans="1:14" s="11" customFormat="1" ht="20.5" customHeight="1">
      <c r="A67" s="15">
        <v>65</v>
      </c>
      <c r="B67" s="11" t="s">
        <v>326</v>
      </c>
      <c r="C67" s="11" t="s">
        <v>182</v>
      </c>
      <c r="E67" s="11" t="s">
        <v>181</v>
      </c>
      <c r="F67" s="15">
        <v>17</v>
      </c>
      <c r="G67" s="22"/>
      <c r="I67" s="11" t="s">
        <v>450</v>
      </c>
      <c r="J67" s="11" t="s">
        <v>370</v>
      </c>
      <c r="L67" s="11">
        <f>INDEX(desa!A:A,MATCH(B67,desa!B:B,0))</f>
        <v>3</v>
      </c>
      <c r="M67" s="17" t="s">
        <v>460</v>
      </c>
      <c r="N67" s="11" t="str">
        <f t="shared" si="0"/>
        <v>('3;Saling Pendi II;;Sanapiah Pato;17;;;Tanaman Pangan;Aktif;POKTAN'),</v>
      </c>
    </row>
    <row r="68" spans="1:14" s="11" customFormat="1" ht="20.5" customHeight="1">
      <c r="A68" s="15">
        <v>66</v>
      </c>
      <c r="B68" s="11" t="s">
        <v>326</v>
      </c>
      <c r="C68" s="11" t="s">
        <v>184</v>
      </c>
      <c r="E68" s="11" t="s">
        <v>183</v>
      </c>
      <c r="F68" s="15">
        <v>23</v>
      </c>
      <c r="G68" s="22"/>
      <c r="I68" s="11" t="s">
        <v>450</v>
      </c>
      <c r="J68" s="11" t="s">
        <v>370</v>
      </c>
      <c r="L68" s="11">
        <f>INDEX(desa!A:A,MATCH(B68,desa!B:B,0))</f>
        <v>3</v>
      </c>
      <c r="M68" s="17" t="s">
        <v>460</v>
      </c>
      <c r="N68" s="11" t="str">
        <f t="shared" ref="N68:N131" si="1">CONCATENATE("('",L68,";",TRIM(LEFT(C68,FIND("  ",C68)-1)),";",D68,";",E68,";",F68,";",G68,";",H68,";",I68,";",J68,";",M68,"'),")</f>
        <v>('3;Ai Orong;;Muhammad Ali;23;;;Tanaman Pangan;Aktif;POKTAN'),</v>
      </c>
    </row>
    <row r="69" spans="1:14" s="11" customFormat="1" ht="20.5" customHeight="1">
      <c r="A69" s="15">
        <v>67</v>
      </c>
      <c r="B69" s="11" t="s">
        <v>326</v>
      </c>
      <c r="C69" s="11" t="s">
        <v>191</v>
      </c>
      <c r="E69" s="11" t="s">
        <v>190</v>
      </c>
      <c r="F69" s="15">
        <v>13</v>
      </c>
      <c r="G69" s="22">
        <v>18</v>
      </c>
      <c r="I69" s="11" t="s">
        <v>450</v>
      </c>
      <c r="J69" s="11" t="s">
        <v>370</v>
      </c>
      <c r="L69" s="11">
        <f>INDEX(desa!A:A,MATCH(B69,desa!B:B,0))</f>
        <v>3</v>
      </c>
      <c r="M69" s="17" t="s">
        <v>460</v>
      </c>
      <c r="N69" s="11" t="str">
        <f t="shared" si="1"/>
        <v>('3;Ai Mante;;Darwin;13;18;;Tanaman Pangan;Aktif;POKTAN'),</v>
      </c>
    </row>
    <row r="70" spans="1:14" s="11" customFormat="1" ht="20.5" customHeight="1">
      <c r="A70" s="15">
        <v>68</v>
      </c>
      <c r="B70" s="11" t="s">
        <v>326</v>
      </c>
      <c r="C70" s="11" t="s">
        <v>192</v>
      </c>
      <c r="E70" s="11" t="s">
        <v>179</v>
      </c>
      <c r="F70" s="15">
        <v>19</v>
      </c>
      <c r="G70" s="22">
        <v>19</v>
      </c>
      <c r="I70" s="11" t="s">
        <v>450</v>
      </c>
      <c r="J70" s="11" t="s">
        <v>370</v>
      </c>
      <c r="L70" s="11">
        <f>INDEX(desa!A:A,MATCH(B70,desa!B:B,0))</f>
        <v>3</v>
      </c>
      <c r="M70" s="17" t="s">
        <v>460</v>
      </c>
      <c r="N70" s="11" t="str">
        <f t="shared" si="1"/>
        <v>('3;Senap Semu;;Sudarmono;19;19;;Tanaman Pangan;Aktif;POKTAN'),</v>
      </c>
    </row>
    <row r="71" spans="1:14" s="11" customFormat="1" ht="20.5" customHeight="1">
      <c r="A71" s="15">
        <v>69</v>
      </c>
      <c r="B71" s="11" t="s">
        <v>326</v>
      </c>
      <c r="C71" s="11" t="s">
        <v>212</v>
      </c>
      <c r="E71" s="11" t="s">
        <v>211</v>
      </c>
      <c r="F71" s="15">
        <v>14</v>
      </c>
      <c r="G71" s="22">
        <v>14</v>
      </c>
      <c r="I71" s="11" t="s">
        <v>450</v>
      </c>
      <c r="J71" s="11" t="s">
        <v>370</v>
      </c>
      <c r="L71" s="11">
        <f>INDEX(desa!A:A,MATCH(B71,desa!B:B,0))</f>
        <v>3</v>
      </c>
      <c r="M71" s="17" t="s">
        <v>460</v>
      </c>
      <c r="N71" s="11" t="str">
        <f t="shared" si="1"/>
        <v>('3;Orong Ibus;;Samsun;14;14;;Tanaman Pangan;Aktif;POKTAN'),</v>
      </c>
    </row>
    <row r="72" spans="1:14" s="11" customFormat="1" ht="20.5" customHeight="1">
      <c r="A72" s="15">
        <v>70</v>
      </c>
      <c r="B72" s="11" t="s">
        <v>326</v>
      </c>
      <c r="C72" s="11" t="s">
        <v>214</v>
      </c>
      <c r="E72" s="11" t="s">
        <v>213</v>
      </c>
      <c r="F72" s="15">
        <v>23</v>
      </c>
      <c r="G72" s="22">
        <v>23</v>
      </c>
      <c r="I72" s="11" t="s">
        <v>450</v>
      </c>
      <c r="J72" s="11" t="s">
        <v>370</v>
      </c>
      <c r="L72" s="11">
        <f>INDEX(desa!A:A,MATCH(B72,desa!B:B,0))</f>
        <v>3</v>
      </c>
      <c r="M72" s="17" t="s">
        <v>460</v>
      </c>
      <c r="N72" s="11" t="str">
        <f t="shared" si="1"/>
        <v>('3;Ai Taruma;;Kursawat;23;23;;Tanaman Pangan;Aktif;POKTAN'),</v>
      </c>
    </row>
    <row r="73" spans="1:14" s="11" customFormat="1" ht="20.5" customHeight="1">
      <c r="A73" s="15">
        <v>71</v>
      </c>
      <c r="B73" s="11" t="s">
        <v>326</v>
      </c>
      <c r="C73" s="11" t="s">
        <v>228</v>
      </c>
      <c r="E73" s="11" t="s">
        <v>227</v>
      </c>
      <c r="F73" s="15">
        <v>16</v>
      </c>
      <c r="G73" s="22">
        <v>16</v>
      </c>
      <c r="I73" s="11" t="s">
        <v>450</v>
      </c>
      <c r="J73" s="11" t="s">
        <v>370</v>
      </c>
      <c r="L73" s="11">
        <f>INDEX(desa!A:A,MATCH(B73,desa!B:B,0))</f>
        <v>3</v>
      </c>
      <c r="M73" s="17" t="s">
        <v>460</v>
      </c>
      <c r="N73" s="11" t="str">
        <f t="shared" si="1"/>
        <v>('3;Cahaya Baru;;Sukarno;16;16;;Tanaman Pangan;Aktif;POKTAN'),</v>
      </c>
    </row>
    <row r="74" spans="1:14" s="11" customFormat="1" ht="20.5" customHeight="1">
      <c r="A74" s="15">
        <v>72</v>
      </c>
      <c r="B74" s="11" t="s">
        <v>326</v>
      </c>
      <c r="C74" s="11" t="s">
        <v>267</v>
      </c>
      <c r="E74" s="11" t="s">
        <v>266</v>
      </c>
      <c r="F74" s="15">
        <v>13</v>
      </c>
      <c r="G74" s="22">
        <v>8</v>
      </c>
      <c r="I74" s="11" t="s">
        <v>450</v>
      </c>
      <c r="J74" s="11" t="s">
        <v>370</v>
      </c>
      <c r="L74" s="11">
        <f>INDEX(desa!A:A,MATCH(B74,desa!B:B,0))</f>
        <v>3</v>
      </c>
      <c r="M74" s="17" t="s">
        <v>460</v>
      </c>
      <c r="N74" s="11" t="str">
        <f t="shared" si="1"/>
        <v>('3;Orong Baruta;;Asmono;13;8;;Tanaman Pangan;Aktif;POKTAN'),</v>
      </c>
    </row>
    <row r="75" spans="1:14" s="11" customFormat="1" ht="20.5" customHeight="1">
      <c r="A75" s="15">
        <v>73</v>
      </c>
      <c r="B75" s="11" t="s">
        <v>326</v>
      </c>
      <c r="C75" s="11" t="s">
        <v>269</v>
      </c>
      <c r="E75" s="11" t="s">
        <v>268</v>
      </c>
      <c r="F75" s="15">
        <v>30</v>
      </c>
      <c r="G75" s="22">
        <v>30</v>
      </c>
      <c r="I75" s="11" t="s">
        <v>450</v>
      </c>
      <c r="J75" s="11" t="s">
        <v>370</v>
      </c>
      <c r="L75" s="11">
        <f>INDEX(desa!A:A,MATCH(B75,desa!B:B,0))</f>
        <v>3</v>
      </c>
      <c r="M75" s="17" t="s">
        <v>460</v>
      </c>
      <c r="N75" s="11" t="str">
        <f t="shared" si="1"/>
        <v>('3;Orong Sabit;;Manyur;30;30;;Tanaman Pangan;Aktif;POKTAN'),</v>
      </c>
    </row>
    <row r="76" spans="1:14" s="11" customFormat="1" ht="20.5" customHeight="1">
      <c r="A76" s="15">
        <v>74</v>
      </c>
      <c r="B76" s="11" t="s">
        <v>326</v>
      </c>
      <c r="C76" s="11" t="s">
        <v>270</v>
      </c>
      <c r="E76" s="11" t="s">
        <v>442</v>
      </c>
      <c r="F76" s="15">
        <v>18</v>
      </c>
      <c r="G76" s="22">
        <v>18</v>
      </c>
      <c r="I76" s="11" t="s">
        <v>450</v>
      </c>
      <c r="J76" s="11" t="s">
        <v>370</v>
      </c>
      <c r="L76" s="11">
        <f>INDEX(desa!A:A,MATCH(B76,desa!B:B,0))</f>
        <v>3</v>
      </c>
      <c r="M76" s="17" t="s">
        <v>460</v>
      </c>
      <c r="N76" s="11" t="str">
        <f t="shared" si="1"/>
        <v>('3;Tani Subur;;Sukardinata;18;18;;Tanaman Pangan;Aktif;POKTAN'),</v>
      </c>
    </row>
    <row r="77" spans="1:14" s="11" customFormat="1" ht="20.5" customHeight="1">
      <c r="A77" s="15">
        <v>75</v>
      </c>
      <c r="B77" s="11" t="s">
        <v>326</v>
      </c>
      <c r="C77" s="11" t="s">
        <v>272</v>
      </c>
      <c r="E77" s="11" t="s">
        <v>271</v>
      </c>
      <c r="F77" s="15">
        <v>17</v>
      </c>
      <c r="G77" s="22">
        <v>17</v>
      </c>
      <c r="I77" s="11" t="s">
        <v>450</v>
      </c>
      <c r="J77" s="11" t="s">
        <v>370</v>
      </c>
      <c r="L77" s="11">
        <f>INDEX(desa!A:A,MATCH(B77,desa!B:B,0))</f>
        <v>3</v>
      </c>
      <c r="M77" s="17" t="s">
        <v>460</v>
      </c>
      <c r="N77" s="11" t="str">
        <f t="shared" si="1"/>
        <v>('3;Mantar Indah;;Sudario;17;17;;Tanaman Pangan;Aktif;POKTAN'),</v>
      </c>
    </row>
    <row r="78" spans="1:14" s="11" customFormat="1" ht="20.5" customHeight="1">
      <c r="A78" s="15">
        <v>76</v>
      </c>
      <c r="B78" s="11" t="s">
        <v>326</v>
      </c>
      <c r="C78" s="11" t="s">
        <v>274</v>
      </c>
      <c r="E78" s="11" t="s">
        <v>273</v>
      </c>
      <c r="F78" s="15">
        <v>15</v>
      </c>
      <c r="G78" s="22">
        <v>15</v>
      </c>
      <c r="I78" s="11" t="s">
        <v>450</v>
      </c>
      <c r="J78" s="11" t="s">
        <v>370</v>
      </c>
      <c r="L78" s="11">
        <f>INDEX(desa!A:A,MATCH(B78,desa!B:B,0))</f>
        <v>3</v>
      </c>
      <c r="M78" s="17" t="s">
        <v>460</v>
      </c>
      <c r="N78" s="11" t="str">
        <f t="shared" si="1"/>
        <v>('3;Lenang Rangala;;Sahabuddin;15;15;;Tanaman Pangan;Aktif;POKTAN'),</v>
      </c>
    </row>
    <row r="79" spans="1:14" s="11" customFormat="1" ht="20.5" customHeight="1">
      <c r="A79" s="15">
        <v>77</v>
      </c>
      <c r="B79" s="11" t="s">
        <v>326</v>
      </c>
      <c r="C79" s="11" t="s">
        <v>276</v>
      </c>
      <c r="E79" s="11" t="s">
        <v>444</v>
      </c>
      <c r="F79" s="15">
        <v>30</v>
      </c>
      <c r="G79" s="22">
        <v>30</v>
      </c>
      <c r="I79" s="11" t="s">
        <v>450</v>
      </c>
      <c r="J79" s="11" t="s">
        <v>370</v>
      </c>
      <c r="L79" s="11">
        <f>INDEX(desa!A:A,MATCH(B79,desa!B:B,0))</f>
        <v>3</v>
      </c>
      <c r="M79" s="17" t="s">
        <v>460</v>
      </c>
      <c r="N79" s="11" t="str">
        <f t="shared" si="1"/>
        <v>('3;Lengkok Pabara;;Irwan;30;30;;Tanaman Pangan;Aktif;POKTAN'),</v>
      </c>
    </row>
    <row r="80" spans="1:14" s="11" customFormat="1" ht="20.5" customHeight="1">
      <c r="A80" s="15">
        <v>78</v>
      </c>
      <c r="B80" s="11" t="s">
        <v>326</v>
      </c>
      <c r="C80" s="11" t="s">
        <v>445</v>
      </c>
      <c r="E80" s="11" t="s">
        <v>275</v>
      </c>
      <c r="F80" s="15">
        <v>30</v>
      </c>
      <c r="G80" s="22">
        <v>30</v>
      </c>
      <c r="I80" s="11" t="s">
        <v>450</v>
      </c>
      <c r="J80" s="11" t="s">
        <v>370</v>
      </c>
      <c r="L80" s="11">
        <f>INDEX(desa!A:A,MATCH(B80,desa!B:B,0))</f>
        <v>3</v>
      </c>
      <c r="M80" s="17" t="s">
        <v>460</v>
      </c>
      <c r="N80" s="11" t="str">
        <f t="shared" si="1"/>
        <v>('3;Ai Beru;;Bambang;30;30;;Tanaman Pangan;Aktif;POKTAN'),</v>
      </c>
    </row>
    <row r="81" spans="1:14" s="11" customFormat="1" ht="20.5" customHeight="1">
      <c r="A81" s="15">
        <v>79</v>
      </c>
      <c r="B81" s="11" t="s">
        <v>11</v>
      </c>
      <c r="C81" s="11" t="s">
        <v>62</v>
      </c>
      <c r="D81" s="11" t="s">
        <v>333</v>
      </c>
      <c r="E81" s="11" t="s">
        <v>61</v>
      </c>
      <c r="F81" s="15">
        <v>26</v>
      </c>
      <c r="G81" s="22">
        <v>49.5</v>
      </c>
      <c r="H81" s="11" t="s">
        <v>401</v>
      </c>
      <c r="I81" s="11" t="s">
        <v>334</v>
      </c>
      <c r="J81" s="11" t="s">
        <v>370</v>
      </c>
      <c r="L81" s="11">
        <f>INDEX(desa!A:A,MATCH(B81,desa!B:B,0))</f>
        <v>1</v>
      </c>
      <c r="M81" s="17" t="s">
        <v>460</v>
      </c>
      <c r="N81" s="11" t="str">
        <f t="shared" si="1"/>
        <v>('1;Sagena indah I;Lanjut;Alfian;26;49.5;'-8,581111.116.8156843;Jagung;Aktif;POKTAN'),</v>
      </c>
    </row>
    <row r="82" spans="1:14" s="11" customFormat="1" ht="20.5" customHeight="1">
      <c r="A82" s="15">
        <v>80</v>
      </c>
      <c r="B82" s="11" t="s">
        <v>11</v>
      </c>
      <c r="C82" s="11" t="s">
        <v>63</v>
      </c>
      <c r="D82" s="11" t="s">
        <v>333</v>
      </c>
      <c r="E82" s="11" t="s">
        <v>406</v>
      </c>
      <c r="F82" s="15">
        <v>38</v>
      </c>
      <c r="G82" s="22">
        <v>74.5</v>
      </c>
      <c r="H82" s="11" t="s">
        <v>407</v>
      </c>
      <c r="I82" s="11" t="s">
        <v>334</v>
      </c>
      <c r="J82" s="11" t="s">
        <v>370</v>
      </c>
      <c r="L82" s="11">
        <f>INDEX(desa!A:A,MATCH(B82,desa!B:B,0))</f>
        <v>1</v>
      </c>
      <c r="M82" s="17" t="s">
        <v>460</v>
      </c>
      <c r="N82" s="11" t="str">
        <f t="shared" si="1"/>
        <v>('1;Sagena Indah II;Lanjut;Suandy HR;38;74.5;'-8.58395,116.8058336;Jagung;Aktif;POKTAN'),</v>
      </c>
    </row>
    <row r="83" spans="1:14" s="11" customFormat="1" ht="20.5" customHeight="1">
      <c r="A83" s="15">
        <v>81</v>
      </c>
      <c r="B83" s="11" t="s">
        <v>11</v>
      </c>
      <c r="C83" s="11" t="s">
        <v>64</v>
      </c>
      <c r="D83" s="11" t="s">
        <v>333</v>
      </c>
      <c r="E83" s="11" t="s">
        <v>410</v>
      </c>
      <c r="F83" s="15">
        <v>37</v>
      </c>
      <c r="G83" s="22">
        <v>54.66</v>
      </c>
      <c r="H83" s="11" t="s">
        <v>407</v>
      </c>
      <c r="I83" s="11" t="s">
        <v>334</v>
      </c>
      <c r="J83" s="11" t="s">
        <v>370</v>
      </c>
      <c r="L83" s="11">
        <f>INDEX(desa!A:A,MATCH(B83,desa!B:B,0))</f>
        <v>1</v>
      </c>
      <c r="M83" s="17" t="s">
        <v>460</v>
      </c>
      <c r="N83" s="11" t="str">
        <f t="shared" si="1"/>
        <v>('1;Susah Maras;Lanjut;M Jamil;37;54.66;'-8.58395,116.8058336;Jagung;Aktif;POKTAN'),</v>
      </c>
    </row>
    <row r="84" spans="1:14" s="11" customFormat="1" ht="20.5" customHeight="1">
      <c r="A84" s="15">
        <v>82</v>
      </c>
      <c r="B84" s="11" t="s">
        <v>11</v>
      </c>
      <c r="C84" s="11" t="s">
        <v>66</v>
      </c>
      <c r="D84" s="11" t="s">
        <v>333</v>
      </c>
      <c r="E84" s="11" t="s">
        <v>65</v>
      </c>
      <c r="F84" s="15">
        <v>19</v>
      </c>
      <c r="G84" s="22">
        <v>22.33</v>
      </c>
      <c r="H84" s="21" t="s">
        <v>396</v>
      </c>
      <c r="I84" s="11" t="s">
        <v>334</v>
      </c>
      <c r="J84" s="11" t="s">
        <v>370</v>
      </c>
      <c r="L84" s="11">
        <f>INDEX(desa!A:A,MATCH(B84,desa!B:B,0))</f>
        <v>1</v>
      </c>
      <c r="M84" s="17" t="s">
        <v>460</v>
      </c>
      <c r="N84" s="11" t="str">
        <f t="shared" si="1"/>
        <v>('1;Angan No Putes;Lanjut;Lukman S;19;22.33;-8.59043, 116.800740;Jagung;Aktif;POKTAN'),</v>
      </c>
    </row>
    <row r="85" spans="1:14" s="11" customFormat="1" ht="20.5" customHeight="1">
      <c r="A85" s="15">
        <v>83</v>
      </c>
      <c r="B85" s="11" t="s">
        <v>11</v>
      </c>
      <c r="C85" s="11" t="s">
        <v>68</v>
      </c>
      <c r="D85" s="11" t="s">
        <v>333</v>
      </c>
      <c r="E85" s="11" t="s">
        <v>67</v>
      </c>
      <c r="F85" s="15">
        <v>38</v>
      </c>
      <c r="G85" s="22">
        <v>67</v>
      </c>
      <c r="H85" s="11" t="s">
        <v>408</v>
      </c>
      <c r="I85" s="11" t="s">
        <v>334</v>
      </c>
      <c r="J85" s="11" t="s">
        <v>370</v>
      </c>
      <c r="L85" s="11">
        <f>INDEX(desa!A:A,MATCH(B85,desa!B:B,0))</f>
        <v>1</v>
      </c>
      <c r="M85" s="17" t="s">
        <v>460</v>
      </c>
      <c r="N85" s="11" t="str">
        <f t="shared" si="1"/>
        <v>('1;Sinar Kiantar;Lanjut;Abd. Rahman;38;67;'-8.59813,116.8021175;Jagung;Aktif;POKTAN'),</v>
      </c>
    </row>
    <row r="86" spans="1:14" s="11" customFormat="1" ht="20.5" customHeight="1">
      <c r="A86" s="15">
        <v>84</v>
      </c>
      <c r="B86" s="11" t="s">
        <v>11</v>
      </c>
      <c r="C86" s="11" t="s">
        <v>70</v>
      </c>
      <c r="D86" s="11" t="s">
        <v>333</v>
      </c>
      <c r="E86" s="11" t="s">
        <v>69</v>
      </c>
      <c r="F86" s="15">
        <v>56</v>
      </c>
      <c r="G86" s="22">
        <v>72.2</v>
      </c>
      <c r="H86" s="11" t="s">
        <v>403</v>
      </c>
      <c r="I86" s="11" t="s">
        <v>334</v>
      </c>
      <c r="J86" s="11" t="s">
        <v>370</v>
      </c>
      <c r="L86" s="11">
        <f>INDEX(desa!A:A,MATCH(B86,desa!B:B,0))</f>
        <v>1</v>
      </c>
      <c r="M86" s="17" t="s">
        <v>460</v>
      </c>
      <c r="N86" s="11" t="str">
        <f t="shared" si="1"/>
        <v>('1;Ai Jemplung;Lanjut;Sabi Said;56;72.2;'-8.3614,116.4747;Jagung;Aktif;POKTAN'),</v>
      </c>
    </row>
    <row r="87" spans="1:14" s="11" customFormat="1" ht="20.5" customHeight="1">
      <c r="A87" s="15">
        <v>85</v>
      </c>
      <c r="B87" s="11" t="s">
        <v>11</v>
      </c>
      <c r="C87" s="11" t="s">
        <v>72</v>
      </c>
      <c r="D87" s="11" t="s">
        <v>333</v>
      </c>
      <c r="E87" s="11" t="s">
        <v>71</v>
      </c>
      <c r="F87" s="15">
        <v>13</v>
      </c>
      <c r="G87" s="22">
        <v>20.66</v>
      </c>
      <c r="H87" s="11" t="s">
        <v>404</v>
      </c>
      <c r="I87" s="11" t="s">
        <v>334</v>
      </c>
      <c r="J87" s="11" t="s">
        <v>370</v>
      </c>
      <c r="L87" s="11">
        <f>INDEX(desa!A:A,MATCH(B87,desa!B:B,0))</f>
        <v>1</v>
      </c>
      <c r="M87" s="17" t="s">
        <v>460</v>
      </c>
      <c r="N87" s="11" t="str">
        <f t="shared" si="1"/>
        <v>('1;Labu Pabanang Unter;Lanjut;H. Sudirman;13;20.66;'-8.57194, 116.524121;Jagung;Aktif;POKTAN'),</v>
      </c>
    </row>
    <row r="88" spans="1:14" s="11" customFormat="1" ht="20.5" customHeight="1">
      <c r="A88" s="15">
        <v>86</v>
      </c>
      <c r="B88" s="11" t="s">
        <v>11</v>
      </c>
      <c r="C88" s="11" t="s">
        <v>73</v>
      </c>
      <c r="D88" s="11" t="s">
        <v>333</v>
      </c>
      <c r="E88" s="11" t="s">
        <v>414</v>
      </c>
      <c r="F88" s="15">
        <v>28</v>
      </c>
      <c r="G88" s="22">
        <v>42.8</v>
      </c>
      <c r="H88" s="11" t="s">
        <v>398</v>
      </c>
      <c r="I88" s="11" t="s">
        <v>334</v>
      </c>
      <c r="J88" s="11" t="s">
        <v>370</v>
      </c>
      <c r="L88" s="11">
        <f>INDEX(desa!A:A,MATCH(B88,desa!B:B,0))</f>
        <v>1</v>
      </c>
      <c r="M88" s="17" t="s">
        <v>460</v>
      </c>
      <c r="N88" s="11" t="str">
        <f t="shared" si="1"/>
        <v>('1;Batu Dongkong;Lanjut;Nazaruddin;28;42.8;'-8.03618, 116.04745;Jagung;Aktif;POKTAN'),</v>
      </c>
    </row>
    <row r="89" spans="1:14" s="11" customFormat="1" ht="20.5" customHeight="1">
      <c r="A89" s="15">
        <v>87</v>
      </c>
      <c r="B89" s="11" t="s">
        <v>11</v>
      </c>
      <c r="C89" s="11" t="s">
        <v>75</v>
      </c>
      <c r="E89" s="11" t="s">
        <v>74</v>
      </c>
      <c r="F89" s="15">
        <v>16</v>
      </c>
      <c r="G89" s="22"/>
      <c r="J89" s="11" t="s">
        <v>378</v>
      </c>
      <c r="L89" s="11">
        <f>INDEX(desa!A:A,MATCH(B89,desa!B:B,0))</f>
        <v>1</v>
      </c>
      <c r="M89" s="17" t="s">
        <v>460</v>
      </c>
      <c r="N89" s="11" t="str">
        <f t="shared" si="1"/>
        <v>('1;Sate Maju;;Jalaluddin;16;;;;Tidak Aktif;POKTAN'),</v>
      </c>
    </row>
    <row r="90" spans="1:14" s="11" customFormat="1" ht="20.5" customHeight="1">
      <c r="A90" s="15">
        <v>88</v>
      </c>
      <c r="B90" s="11" t="s">
        <v>11</v>
      </c>
      <c r="C90" s="11" t="s">
        <v>169</v>
      </c>
      <c r="D90" s="11" t="s">
        <v>333</v>
      </c>
      <c r="E90" s="11" t="s">
        <v>74</v>
      </c>
      <c r="F90" s="15">
        <v>26</v>
      </c>
      <c r="G90" s="22">
        <v>37.67</v>
      </c>
      <c r="H90" s="11" t="s">
        <v>402</v>
      </c>
      <c r="I90" s="11" t="s">
        <v>334</v>
      </c>
      <c r="J90" s="11" t="s">
        <v>370</v>
      </c>
      <c r="L90" s="11">
        <f>INDEX(desa!A:A,MATCH(B90,desa!B:B,0))</f>
        <v>1</v>
      </c>
      <c r="M90" s="17" t="s">
        <v>460</v>
      </c>
      <c r="N90" s="11" t="str">
        <f t="shared" si="1"/>
        <v>('1;Ai Barereng;Lanjut;Jalaluddin;26;37.67;'-8.58197,116.8139;Jagung;Aktif;POKTAN'),</v>
      </c>
    </row>
    <row r="91" spans="1:14" s="11" customFormat="1" ht="20.5" customHeight="1">
      <c r="A91" s="15">
        <v>89</v>
      </c>
      <c r="B91" s="11" t="s">
        <v>11</v>
      </c>
      <c r="C91" s="11" t="s">
        <v>218</v>
      </c>
      <c r="D91" s="11" t="s">
        <v>333</v>
      </c>
      <c r="E91" s="11" t="s">
        <v>217</v>
      </c>
      <c r="F91" s="15">
        <v>20</v>
      </c>
      <c r="G91" s="22">
        <v>33</v>
      </c>
      <c r="H91" s="11" t="s">
        <v>413</v>
      </c>
      <c r="I91" s="11" t="s">
        <v>334</v>
      </c>
      <c r="J91" s="11" t="s">
        <v>370</v>
      </c>
      <c r="L91" s="11">
        <f>INDEX(desa!A:A,MATCH(B91,desa!B:B,0))</f>
        <v>1</v>
      </c>
      <c r="M91" s="17" t="s">
        <v>460</v>
      </c>
      <c r="N91" s="11" t="str">
        <f t="shared" si="1"/>
        <v>('1;Jorok Ai Gamat;Lanjut;Sulkifli;20;33;'-8.58065, 116.8164839;Jagung;Aktif;POKTAN'),</v>
      </c>
    </row>
    <row r="92" spans="1:14" s="11" customFormat="1" ht="20.5" customHeight="1">
      <c r="A92" s="15">
        <v>90</v>
      </c>
      <c r="B92" s="11" t="s">
        <v>11</v>
      </c>
      <c r="C92" s="11" t="s">
        <v>239</v>
      </c>
      <c r="D92" s="11" t="s">
        <v>333</v>
      </c>
      <c r="E92" s="11" t="s">
        <v>238</v>
      </c>
      <c r="F92" s="15">
        <v>22</v>
      </c>
      <c r="G92" s="22">
        <v>31.66</v>
      </c>
      <c r="H92" s="11" t="s">
        <v>405</v>
      </c>
      <c r="I92" s="11" t="s">
        <v>334</v>
      </c>
      <c r="J92" s="11" t="s">
        <v>370</v>
      </c>
      <c r="L92" s="11">
        <f>INDEX(desa!A:A,MATCH(B92,desa!B:B,0))</f>
        <v>1</v>
      </c>
      <c r="M92" s="17" t="s">
        <v>460</v>
      </c>
      <c r="N92" s="11" t="str">
        <f t="shared" si="1"/>
        <v>('1;Muda Bersaing;Lanjut;Abdullah;22;31.66;'-8036’9’’,116047’18’’,42,;Jagung;Aktif;POKTAN'),</v>
      </c>
    </row>
    <row r="93" spans="1:14" s="11" customFormat="1" ht="20.5" customHeight="1">
      <c r="A93" s="15">
        <v>91</v>
      </c>
      <c r="B93" s="11" t="s">
        <v>11</v>
      </c>
      <c r="C93" s="11" t="s">
        <v>240</v>
      </c>
      <c r="D93" s="11" t="s">
        <v>333</v>
      </c>
      <c r="E93" s="11" t="s">
        <v>167</v>
      </c>
      <c r="F93" s="15">
        <v>26</v>
      </c>
      <c r="G93" s="22">
        <v>35.33</v>
      </c>
      <c r="H93" s="11" t="s">
        <v>409</v>
      </c>
      <c r="I93" s="11" t="s">
        <v>334</v>
      </c>
      <c r="J93" s="11" t="s">
        <v>370</v>
      </c>
      <c r="L93" s="11">
        <f>INDEX(desa!A:A,MATCH(B93,desa!B:B,0))</f>
        <v>1</v>
      </c>
      <c r="M93" s="17" t="s">
        <v>460</v>
      </c>
      <c r="N93" s="11" t="str">
        <f t="shared" si="1"/>
        <v>('1;Sinar Tani;Lanjut;Burhanuddin;26;35.33;'-8.59515,116.7949199;Jagung;Aktif;POKTAN'),</v>
      </c>
    </row>
    <row r="94" spans="1:14" s="11" customFormat="1" ht="20.5" customHeight="1">
      <c r="A94" s="15">
        <v>92</v>
      </c>
      <c r="B94" s="11" t="s">
        <v>11</v>
      </c>
      <c r="C94" s="11" t="s">
        <v>298</v>
      </c>
      <c r="E94" s="11" t="s">
        <v>251</v>
      </c>
      <c r="F94" s="15">
        <v>26</v>
      </c>
      <c r="G94" s="22"/>
      <c r="J94" s="11" t="s">
        <v>370</v>
      </c>
      <c r="L94" s="11">
        <f>INDEX(desa!A:A,MATCH(B94,desa!B:B,0))</f>
        <v>1</v>
      </c>
      <c r="M94" s="17" t="s">
        <v>460</v>
      </c>
      <c r="N94" s="11" t="str">
        <f t="shared" si="1"/>
        <v>('1;KWT Melati;;Sadariah;26;;;;Aktif;POKTAN'),</v>
      </c>
    </row>
    <row r="95" spans="1:14" s="11" customFormat="1" ht="20.5" customHeight="1">
      <c r="A95" s="15">
        <v>93</v>
      </c>
      <c r="B95" s="11" t="s">
        <v>11</v>
      </c>
      <c r="C95" s="11" t="s">
        <v>254</v>
      </c>
      <c r="D95" s="11" t="s">
        <v>333</v>
      </c>
      <c r="E95" s="11" t="s">
        <v>412</v>
      </c>
      <c r="F95" s="15">
        <v>22</v>
      </c>
      <c r="G95" s="22">
        <v>28</v>
      </c>
      <c r="H95" s="11" t="s">
        <v>411</v>
      </c>
      <c r="I95" s="11" t="s">
        <v>334</v>
      </c>
      <c r="J95" s="11" t="s">
        <v>370</v>
      </c>
      <c r="L95" s="11">
        <f>INDEX(desa!A:A,MATCH(B95,desa!B:B,0))</f>
        <v>1</v>
      </c>
      <c r="M95" s="17" t="s">
        <v>460</v>
      </c>
      <c r="N95" s="11" t="str">
        <f t="shared" si="1"/>
        <v>('1;Ai Papak;Lanjut;Arsad HM;22;28;'-8.59335,116.8056437;Jagung;Aktif;POKTAN'),</v>
      </c>
    </row>
    <row r="96" spans="1:14" s="11" customFormat="1" ht="20.5" customHeight="1">
      <c r="A96" s="15">
        <v>94</v>
      </c>
      <c r="B96" s="11" t="s">
        <v>11</v>
      </c>
      <c r="C96" s="11" t="s">
        <v>262</v>
      </c>
      <c r="D96" s="11" t="s">
        <v>333</v>
      </c>
      <c r="E96" s="11" t="s">
        <v>261</v>
      </c>
      <c r="F96" s="15">
        <v>27</v>
      </c>
      <c r="G96" s="22">
        <v>46</v>
      </c>
      <c r="H96" s="11" t="s">
        <v>397</v>
      </c>
      <c r="I96" s="11" t="s">
        <v>334</v>
      </c>
      <c r="J96" s="11" t="s">
        <v>370</v>
      </c>
      <c r="L96" s="11">
        <f>INDEX(desa!A:A,MATCH(B96,desa!B:B,0))</f>
        <v>1</v>
      </c>
      <c r="M96" s="17" t="s">
        <v>460</v>
      </c>
      <c r="N96" s="11" t="str">
        <f t="shared" si="1"/>
        <v>('1;Parenteng;Lanjut;Zakaria H.Salim;27;46;'-8.59449,116.7951462;Jagung;Aktif;POKTAN'),</v>
      </c>
    </row>
    <row r="97" spans="1:14" s="11" customFormat="1" ht="20.5" customHeight="1">
      <c r="A97" s="15">
        <v>95</v>
      </c>
      <c r="B97" s="11" t="s">
        <v>11</v>
      </c>
      <c r="C97" s="11" t="s">
        <v>52</v>
      </c>
      <c r="D97" s="11" t="s">
        <v>333</v>
      </c>
      <c r="E97" s="11" t="s">
        <v>399</v>
      </c>
      <c r="F97" s="15">
        <v>33</v>
      </c>
      <c r="G97" s="22">
        <v>66</v>
      </c>
      <c r="H97" s="11" t="s">
        <v>400</v>
      </c>
      <c r="I97" s="11" t="s">
        <v>334</v>
      </c>
      <c r="J97" s="11" t="s">
        <v>370</v>
      </c>
      <c r="L97" s="11">
        <f>INDEX(desa!A:A,MATCH(B97,desa!B:B,0))</f>
        <v>1</v>
      </c>
      <c r="M97" s="17" t="s">
        <v>460</v>
      </c>
      <c r="N97" s="11" t="str">
        <f t="shared" si="1"/>
        <v>('1;Pendi Jangi;Lanjut;Agus M;33;66;'-8.58819,116.80239,58;Jagung;Aktif;POKTAN'),</v>
      </c>
    </row>
    <row r="98" spans="1:14" s="11" customFormat="1" ht="20.5" customHeight="1">
      <c r="A98" s="15">
        <v>96</v>
      </c>
      <c r="B98" s="11" t="s">
        <v>11</v>
      </c>
      <c r="C98" s="11" t="s">
        <v>73</v>
      </c>
      <c r="E98" s="11" t="s">
        <v>282</v>
      </c>
      <c r="F98" s="15">
        <v>1</v>
      </c>
      <c r="G98" s="22"/>
      <c r="J98" s="11" t="s">
        <v>378</v>
      </c>
      <c r="L98" s="11">
        <f>INDEX(desa!A:A,MATCH(B98,desa!B:B,0))</f>
        <v>1</v>
      </c>
      <c r="M98" s="17" t="s">
        <v>460</v>
      </c>
      <c r="N98" s="11" t="str">
        <f t="shared" si="1"/>
        <v>('1;Batu Dongkong;;Sabirillah;1;;;;Tidak Aktif;POKTAN'),</v>
      </c>
    </row>
    <row r="99" spans="1:14" s="11" customFormat="1" ht="20.5" customHeight="1">
      <c r="A99" s="15">
        <v>97</v>
      </c>
      <c r="B99" s="11" t="s">
        <v>11</v>
      </c>
      <c r="C99" s="11" t="s">
        <v>144</v>
      </c>
      <c r="E99" s="11" t="s">
        <v>283</v>
      </c>
      <c r="F99" s="15">
        <v>6</v>
      </c>
      <c r="G99" s="22"/>
      <c r="H99" s="28"/>
      <c r="J99" s="11" t="s">
        <v>378</v>
      </c>
      <c r="L99" s="11">
        <f>INDEX(desa!A:A,MATCH(B99,desa!B:B,0))</f>
        <v>1</v>
      </c>
      <c r="M99" s="17" t="s">
        <v>460</v>
      </c>
      <c r="N99" s="11" t="str">
        <f t="shared" si="1"/>
        <v>('1;Saling Pendi;;Basaruddin;6;;;;Tidak Aktif;POKTAN'),</v>
      </c>
    </row>
    <row r="100" spans="1:14" s="11" customFormat="1" ht="20.5" customHeight="1">
      <c r="A100" s="15">
        <v>98</v>
      </c>
      <c r="B100" s="11" t="s">
        <v>327</v>
      </c>
      <c r="C100" s="11" t="s">
        <v>26</v>
      </c>
      <c r="D100" s="11" t="s">
        <v>319</v>
      </c>
      <c r="E100" s="11" t="s">
        <v>150</v>
      </c>
      <c r="F100" s="15">
        <v>22</v>
      </c>
      <c r="G100" s="22">
        <v>40</v>
      </c>
      <c r="H100" s="29" t="s">
        <v>380</v>
      </c>
      <c r="I100" s="11" t="s">
        <v>334</v>
      </c>
      <c r="J100" s="11" t="s">
        <v>370</v>
      </c>
      <c r="L100" s="11">
        <f>INDEX(desa!A:A,MATCH(B100,desa!B:B,0))</f>
        <v>6</v>
      </c>
      <c r="M100" s="17" t="s">
        <v>460</v>
      </c>
      <c r="N100" s="11" t="str">
        <f t="shared" si="1"/>
        <v>('6;Daya Makmur;Pemula;Sahidi;22;40;-8.562928333333334, 116.843175;Jagung;Aktif;POKTAN'),</v>
      </c>
    </row>
    <row r="101" spans="1:14" s="11" customFormat="1" ht="20.5" customHeight="1">
      <c r="A101" s="15">
        <v>99</v>
      </c>
      <c r="B101" s="11" t="s">
        <v>327</v>
      </c>
      <c r="C101" s="11" t="s">
        <v>152</v>
      </c>
      <c r="D101" s="11" t="s">
        <v>319</v>
      </c>
      <c r="E101" s="11" t="s">
        <v>151</v>
      </c>
      <c r="F101" s="15">
        <v>49</v>
      </c>
      <c r="G101" s="22">
        <v>40</v>
      </c>
      <c r="H101" s="28"/>
      <c r="I101" s="11" t="s">
        <v>334</v>
      </c>
      <c r="J101" s="11" t="s">
        <v>370</v>
      </c>
      <c r="L101" s="11">
        <f>INDEX(desa!A:A,MATCH(B101,desa!B:B,0))</f>
        <v>6</v>
      </c>
      <c r="M101" s="17" t="s">
        <v>460</v>
      </c>
      <c r="N101" s="11" t="str">
        <f t="shared" si="1"/>
        <v>('6;Tekad Maju;Pemula;Syamsul Hidayat;49;40;;Jagung;Aktif;POKTAN'),</v>
      </c>
    </row>
    <row r="102" spans="1:14" s="11" customFormat="1" ht="20.5" customHeight="1">
      <c r="A102" s="15">
        <v>100</v>
      </c>
      <c r="B102" s="11" t="s">
        <v>327</v>
      </c>
      <c r="C102" s="11" t="s">
        <v>154</v>
      </c>
      <c r="D102" s="11" t="s">
        <v>333</v>
      </c>
      <c r="E102" s="11" t="s">
        <v>153</v>
      </c>
      <c r="F102" s="15">
        <v>23</v>
      </c>
      <c r="G102" s="22">
        <v>38</v>
      </c>
      <c r="H102" s="21" t="s">
        <v>392</v>
      </c>
      <c r="I102" s="11" t="s">
        <v>334</v>
      </c>
      <c r="J102" s="11" t="s">
        <v>370</v>
      </c>
      <c r="L102" s="11">
        <f>INDEX(desa!A:A,MATCH(B102,desa!B:B,0))</f>
        <v>6</v>
      </c>
      <c r="M102" s="17" t="s">
        <v>460</v>
      </c>
      <c r="N102" s="11" t="str">
        <f t="shared" si="1"/>
        <v>('6;Olat Sare;Lanjut;Suhardi;23;38;-8.574811666666667, 116.8402166666668;Jagung;Aktif;POKTAN'),</v>
      </c>
    </row>
    <row r="103" spans="1:14" s="11" customFormat="1" ht="20.5" customHeight="1">
      <c r="A103" s="15">
        <v>101</v>
      </c>
      <c r="B103" s="11" t="s">
        <v>327</v>
      </c>
      <c r="C103" s="11" t="s">
        <v>472</v>
      </c>
      <c r="D103" s="11" t="s">
        <v>319</v>
      </c>
      <c r="E103" s="11" t="s">
        <v>14</v>
      </c>
      <c r="F103" s="15">
        <v>26</v>
      </c>
      <c r="G103" s="22">
        <v>37</v>
      </c>
      <c r="H103" s="30" t="s">
        <v>393</v>
      </c>
      <c r="I103" s="11" t="s">
        <v>334</v>
      </c>
      <c r="J103" s="11" t="s">
        <v>370</v>
      </c>
      <c r="K103" s="21"/>
      <c r="L103" s="11">
        <f>INDEX(desa!A:A,MATCH(B103,desa!B:B,0))</f>
        <v>6</v>
      </c>
      <c r="M103" s="17" t="s">
        <v>460</v>
      </c>
      <c r="N103" s="11" t="str">
        <f t="shared" si="1"/>
        <v>('6;Talanak;Pemula;Bambang Irawan;26;37;-8.570671666666668, 116.84610666666667;Jagung;Aktif;POKTAN'),</v>
      </c>
    </row>
    <row r="104" spans="1:14" s="11" customFormat="1" ht="20.5" customHeight="1">
      <c r="A104" s="15">
        <v>102</v>
      </c>
      <c r="B104" s="11" t="s">
        <v>327</v>
      </c>
      <c r="C104" s="11" t="s">
        <v>452</v>
      </c>
      <c r="D104" s="11" t="s">
        <v>319</v>
      </c>
      <c r="E104" s="11" t="s">
        <v>155</v>
      </c>
      <c r="F104" s="15">
        <v>11</v>
      </c>
      <c r="G104" s="22"/>
      <c r="H104" s="28"/>
      <c r="I104" s="11" t="s">
        <v>446</v>
      </c>
      <c r="J104" s="11" t="s">
        <v>370</v>
      </c>
      <c r="L104" s="11">
        <f>INDEX(desa!A:A,MATCH(B104,desa!B:B,0))</f>
        <v>6</v>
      </c>
      <c r="M104" s="17" t="s">
        <v>460</v>
      </c>
      <c r="N104" s="11" t="str">
        <f t="shared" si="1"/>
        <v>('6;KWT Sinar Harapan;Pemula;Yuliana;11;;;Pengolahan Hasil Pertanian;Aktif;POKTAN'),</v>
      </c>
    </row>
    <row r="105" spans="1:14" s="11" customFormat="1" ht="20.5" customHeight="1">
      <c r="A105" s="15">
        <v>103</v>
      </c>
      <c r="B105" s="11" t="s">
        <v>327</v>
      </c>
      <c r="C105" s="11" t="s">
        <v>157</v>
      </c>
      <c r="E105" s="11" t="s">
        <v>156</v>
      </c>
      <c r="F105" s="15">
        <v>10</v>
      </c>
      <c r="G105" s="22"/>
      <c r="H105" s="28"/>
      <c r="J105" s="11" t="s">
        <v>370</v>
      </c>
      <c r="L105" s="11">
        <f>INDEX(desa!A:A,MATCH(B105,desa!B:B,0))</f>
        <v>6</v>
      </c>
      <c r="M105" s="17" t="s">
        <v>460</v>
      </c>
      <c r="N105" s="11" t="str">
        <f t="shared" si="1"/>
        <v>('6;LKD Sasai Ate;;Supiati;10;;;;Aktif;POKTAN'),</v>
      </c>
    </row>
    <row r="106" spans="1:14" s="11" customFormat="1" ht="20.5" customHeight="1">
      <c r="A106" s="15">
        <v>104</v>
      </c>
      <c r="B106" s="11" t="s">
        <v>327</v>
      </c>
      <c r="C106" s="11" t="s">
        <v>159</v>
      </c>
      <c r="D106" s="11" t="s">
        <v>319</v>
      </c>
      <c r="E106" s="11" t="s">
        <v>158</v>
      </c>
      <c r="F106" s="15">
        <v>19</v>
      </c>
      <c r="G106" s="22"/>
      <c r="H106" s="28"/>
      <c r="I106" s="11" t="s">
        <v>334</v>
      </c>
      <c r="J106" s="11" t="s">
        <v>370</v>
      </c>
      <c r="L106" s="11">
        <f>INDEX(desa!A:A,MATCH(B106,desa!B:B,0))</f>
        <v>6</v>
      </c>
      <c r="M106" s="17" t="s">
        <v>460</v>
      </c>
      <c r="N106" s="11" t="str">
        <f t="shared" si="1"/>
        <v>('6;Harapan Bersama;Pemula;H. Jamaluddin;19;;;Jagung;Aktif;POKTAN'),</v>
      </c>
    </row>
    <row r="107" spans="1:14" s="11" customFormat="1" ht="20.5" customHeight="1">
      <c r="A107" s="15">
        <v>105</v>
      </c>
      <c r="B107" s="11" t="s">
        <v>327</v>
      </c>
      <c r="C107" s="11" t="s">
        <v>160</v>
      </c>
      <c r="D107" s="11" t="s">
        <v>319</v>
      </c>
      <c r="E107" s="11" t="s">
        <v>14</v>
      </c>
      <c r="F107" s="15">
        <v>10</v>
      </c>
      <c r="G107" s="22"/>
      <c r="H107" s="28"/>
      <c r="I107" s="11" t="s">
        <v>334</v>
      </c>
      <c r="J107" s="11" t="s">
        <v>370</v>
      </c>
      <c r="L107" s="11">
        <f>INDEX(desa!A:A,MATCH(B107,desa!B:B,0))</f>
        <v>6</v>
      </c>
      <c r="M107" s="17" t="s">
        <v>460</v>
      </c>
      <c r="N107" s="11" t="str">
        <f t="shared" si="1"/>
        <v>('6;Padang Hijau;Pemula;Bambang Irawan;10;;;Jagung;Aktif;POKTAN'),</v>
      </c>
    </row>
    <row r="108" spans="1:14" s="11" customFormat="1" ht="20.5" customHeight="1">
      <c r="A108" s="15">
        <v>106</v>
      </c>
      <c r="B108" s="11" t="s">
        <v>327</v>
      </c>
      <c r="C108" s="11" t="s">
        <v>52</v>
      </c>
      <c r="D108" s="11" t="s">
        <v>333</v>
      </c>
      <c r="E108" s="11" t="s">
        <v>161</v>
      </c>
      <c r="F108" s="15">
        <v>8</v>
      </c>
      <c r="G108" s="22"/>
      <c r="H108" s="28"/>
      <c r="I108" s="11" t="s">
        <v>384</v>
      </c>
      <c r="J108" s="11" t="s">
        <v>370</v>
      </c>
      <c r="L108" s="11">
        <f>INDEX(desa!A:A,MATCH(B108,desa!B:B,0))</f>
        <v>6</v>
      </c>
      <c r="M108" s="17" t="s">
        <v>460</v>
      </c>
      <c r="N108" s="11" t="str">
        <f t="shared" si="1"/>
        <v>('6;Pendi Jangi;Lanjut;A. Yani;8;;;Ternak Sapi;Aktif;POKTAN'),</v>
      </c>
    </row>
    <row r="109" spans="1:14" s="11" customFormat="1" ht="20.5" customHeight="1">
      <c r="A109" s="15">
        <v>107</v>
      </c>
      <c r="B109" s="11" t="s">
        <v>327</v>
      </c>
      <c r="C109" s="11" t="s">
        <v>205</v>
      </c>
      <c r="D109" s="11" t="s">
        <v>333</v>
      </c>
      <c r="E109" s="11" t="s">
        <v>382</v>
      </c>
      <c r="F109" s="15">
        <v>24</v>
      </c>
      <c r="G109" s="22">
        <v>34</v>
      </c>
      <c r="H109" s="29" t="s">
        <v>381</v>
      </c>
      <c r="I109" s="11" t="s">
        <v>334</v>
      </c>
      <c r="J109" s="11" t="s">
        <v>370</v>
      </c>
      <c r="L109" s="11">
        <f>INDEX(desa!A:A,MATCH(B109,desa!B:B,0))</f>
        <v>6</v>
      </c>
      <c r="M109" s="17" t="s">
        <v>460</v>
      </c>
      <c r="N109" s="11" t="str">
        <f t="shared" si="1"/>
        <v>('6;Kokar Tampe;Lanjut;Ahmad T;24;34;-8.56225 I111, '116.84001833333332;Jagung;Aktif;POKTAN'),</v>
      </c>
    </row>
    <row r="110" spans="1:14" s="11" customFormat="1" ht="20.5" customHeight="1">
      <c r="A110" s="15">
        <v>108</v>
      </c>
      <c r="B110" s="11" t="s">
        <v>327</v>
      </c>
      <c r="C110" s="11" t="s">
        <v>235</v>
      </c>
      <c r="D110" s="11" t="s">
        <v>333</v>
      </c>
      <c r="E110" s="11" t="s">
        <v>234</v>
      </c>
      <c r="F110" s="15">
        <v>29</v>
      </c>
      <c r="G110" s="22">
        <v>40</v>
      </c>
      <c r="H110" s="29" t="s">
        <v>379</v>
      </c>
      <c r="I110" s="11" t="s">
        <v>334</v>
      </c>
      <c r="J110" s="11" t="s">
        <v>370</v>
      </c>
      <c r="L110" s="11">
        <f>INDEX(desa!A:A,MATCH(B110,desa!B:B,0))</f>
        <v>6</v>
      </c>
      <c r="M110" s="17" t="s">
        <v>460</v>
      </c>
      <c r="N110" s="11" t="str">
        <f t="shared" si="1"/>
        <v>('6;Balong Pariri;Lanjut;Kiswanto;29;40;-8.56724333333334, 83902666666667;Jagung;Aktif;POKTAN'),</v>
      </c>
    </row>
    <row r="111" spans="1:14" s="11" customFormat="1" ht="20.5" customHeight="1">
      <c r="A111" s="15">
        <v>109</v>
      </c>
      <c r="B111" s="11" t="s">
        <v>327</v>
      </c>
      <c r="C111" s="11" t="s">
        <v>253</v>
      </c>
      <c r="D111" s="11" t="s">
        <v>333</v>
      </c>
      <c r="E111" s="11" t="s">
        <v>252</v>
      </c>
      <c r="F111" s="15">
        <v>30</v>
      </c>
      <c r="G111" s="22"/>
      <c r="I111" s="11" t="s">
        <v>446</v>
      </c>
      <c r="J111" s="11" t="s">
        <v>370</v>
      </c>
      <c r="L111" s="11">
        <f>INDEX(desa!A:A,MATCH(B111,desa!B:B,0))</f>
        <v>6</v>
      </c>
      <c r="M111" s="17" t="s">
        <v>460</v>
      </c>
      <c r="N111" s="11" t="str">
        <f t="shared" si="1"/>
        <v>('6;KWT Mekar;Lanjut;Baiq Kartini;30;;;Pengolahan Hasil Pertanian;Aktif;POKTAN'),</v>
      </c>
    </row>
    <row r="112" spans="1:14" s="11" customFormat="1" ht="20.5" customHeight="1">
      <c r="A112" s="15">
        <v>110</v>
      </c>
      <c r="B112" s="11" t="s">
        <v>327</v>
      </c>
      <c r="C112" s="11" t="s">
        <v>35</v>
      </c>
      <c r="E112" s="11" t="s">
        <v>13</v>
      </c>
      <c r="F112" s="15">
        <v>2</v>
      </c>
      <c r="G112" s="22"/>
      <c r="I112" s="11" t="s">
        <v>371</v>
      </c>
      <c r="J112" s="11" t="s">
        <v>370</v>
      </c>
      <c r="L112" s="11">
        <f>INDEX(desa!A:A,MATCH(B112,desa!B:B,0))</f>
        <v>6</v>
      </c>
      <c r="M112" s="17" t="s">
        <v>460</v>
      </c>
      <c r="N112" s="11" t="str">
        <f t="shared" si="1"/>
        <v>('6;Maju Bersama;;Ahmad;2;;;Hortikultura;Aktif;POKTAN'),</v>
      </c>
    </row>
    <row r="113" spans="1:14" s="11" customFormat="1" ht="20.5" customHeight="1">
      <c r="A113" s="15">
        <v>111</v>
      </c>
      <c r="B113" s="11" t="s">
        <v>327</v>
      </c>
      <c r="C113" s="11" t="s">
        <v>235</v>
      </c>
      <c r="D113" s="11" t="s">
        <v>333</v>
      </c>
      <c r="E113" s="11" t="s">
        <v>234</v>
      </c>
      <c r="F113" s="15">
        <v>29</v>
      </c>
      <c r="G113" s="22">
        <v>40</v>
      </c>
      <c r="H113" s="21" t="s">
        <v>394</v>
      </c>
      <c r="I113" s="11" t="s">
        <v>334</v>
      </c>
      <c r="J113" s="11" t="s">
        <v>370</v>
      </c>
      <c r="L113" s="11">
        <f>INDEX(desa!A:A,MATCH(B113,desa!B:B,0))</f>
        <v>6</v>
      </c>
      <c r="M113" s="17" t="s">
        <v>460</v>
      </c>
      <c r="N113" s="11" t="str">
        <f t="shared" si="1"/>
        <v>('6;Balong Pariri;Lanjut;Kiswanto;29;40;-8.571215215, 116.84078166666669;Jagung;Aktif;POKTAN'),</v>
      </c>
    </row>
    <row r="114" spans="1:14" s="11" customFormat="1" ht="20.5" customHeight="1">
      <c r="A114" s="15">
        <v>112</v>
      </c>
      <c r="B114" s="11" t="s">
        <v>327</v>
      </c>
      <c r="C114" s="11" t="s">
        <v>277</v>
      </c>
      <c r="D114" s="11" t="s">
        <v>319</v>
      </c>
      <c r="E114" s="11" t="s">
        <v>383</v>
      </c>
      <c r="F114" s="15">
        <v>31</v>
      </c>
      <c r="G114" s="22">
        <v>35</v>
      </c>
      <c r="H114" s="21" t="s">
        <v>395</v>
      </c>
      <c r="I114" s="11" t="s">
        <v>334</v>
      </c>
      <c r="J114" s="11" t="s">
        <v>370</v>
      </c>
      <c r="L114" s="11">
        <f>INDEX(desa!A:A,MATCH(B114,desa!B:B,0))</f>
        <v>6</v>
      </c>
      <c r="M114" s="17" t="s">
        <v>460</v>
      </c>
      <c r="N114" s="11" t="str">
        <f t="shared" si="1"/>
        <v>('6;Tengkal Baban;Pemula;Mukhlis Topan;31;35;-8.557801666666668, 116.84184666666667;Jagung;Aktif;POKTAN'),</v>
      </c>
    </row>
    <row r="115" spans="1:14" s="11" customFormat="1" ht="20.5" customHeight="1">
      <c r="A115" s="15">
        <v>113</v>
      </c>
      <c r="B115" s="11" t="s">
        <v>327</v>
      </c>
      <c r="C115" s="11" t="s">
        <v>285</v>
      </c>
      <c r="E115" s="11" t="s">
        <v>284</v>
      </c>
      <c r="F115" s="15">
        <v>8</v>
      </c>
      <c r="G115" s="22"/>
      <c r="I115" s="11" t="s">
        <v>371</v>
      </c>
      <c r="J115" s="11" t="s">
        <v>370</v>
      </c>
      <c r="L115" s="11">
        <f>INDEX(desa!A:A,MATCH(B115,desa!B:B,0))</f>
        <v>6</v>
      </c>
      <c r="M115" s="17" t="s">
        <v>460</v>
      </c>
      <c r="N115" s="11" t="str">
        <f t="shared" si="1"/>
        <v>('6;Virginia Harapan Jaya;;Rustam;8;;;Hortikultura;Aktif;POKTAN'),</v>
      </c>
    </row>
    <row r="116" spans="1:14" s="11" customFormat="1" ht="20.5" customHeight="1">
      <c r="A116" s="15">
        <v>114</v>
      </c>
      <c r="B116" s="11" t="s">
        <v>327</v>
      </c>
      <c r="C116" s="11" t="s">
        <v>385</v>
      </c>
      <c r="E116" s="11" t="s">
        <v>386</v>
      </c>
      <c r="F116" s="15">
        <v>10</v>
      </c>
      <c r="G116" s="22"/>
      <c r="I116" s="11" t="s">
        <v>371</v>
      </c>
      <c r="J116" s="11" t="s">
        <v>370</v>
      </c>
      <c r="L116" s="11">
        <f>INDEX(desa!A:A,MATCH(B116,desa!B:B,0))</f>
        <v>6</v>
      </c>
      <c r="M116" s="17" t="s">
        <v>460</v>
      </c>
      <c r="N116" s="11" t="str">
        <f t="shared" si="1"/>
        <v>('6;Semangat Baru;;Joko M hardianto;10;;;Hortikultura;Aktif;POKTAN'),</v>
      </c>
    </row>
    <row r="117" spans="1:14" s="11" customFormat="1" ht="20.5" customHeight="1">
      <c r="A117" s="15">
        <v>115</v>
      </c>
      <c r="B117" s="11" t="s">
        <v>321</v>
      </c>
      <c r="C117" s="11" t="s">
        <v>26</v>
      </c>
      <c r="D117" s="11" t="s">
        <v>317</v>
      </c>
      <c r="E117" s="11" t="s">
        <v>22</v>
      </c>
      <c r="F117" s="15">
        <v>54</v>
      </c>
      <c r="G117" s="22">
        <v>89.65</v>
      </c>
      <c r="I117" s="11" t="s">
        <v>334</v>
      </c>
      <c r="J117" s="11" t="s">
        <v>370</v>
      </c>
      <c r="L117" s="11">
        <f>INDEX(desa!A:A,MATCH(B117,desa!B:B,0))</f>
        <v>2</v>
      </c>
      <c r="M117" s="17" t="s">
        <v>460</v>
      </c>
      <c r="N117" s="11" t="str">
        <f t="shared" si="1"/>
        <v>('2;Daya Makmur;Madya;Samsul Arifin;54;89.65;;Jagung;Aktif;POKTAN'),</v>
      </c>
    </row>
    <row r="118" spans="1:14" s="11" customFormat="1" ht="20.5" customHeight="1">
      <c r="A118" s="15">
        <v>116</v>
      </c>
      <c r="B118" s="11" t="s">
        <v>321</v>
      </c>
      <c r="C118" s="11" t="s">
        <v>28</v>
      </c>
      <c r="D118" s="11" t="s">
        <v>333</v>
      </c>
      <c r="E118" s="11" t="s">
        <v>27</v>
      </c>
      <c r="F118" s="15">
        <v>81</v>
      </c>
      <c r="G118" s="22">
        <v>77</v>
      </c>
      <c r="I118" s="11" t="s">
        <v>334</v>
      </c>
      <c r="J118" s="11" t="s">
        <v>370</v>
      </c>
      <c r="L118" s="11">
        <f>INDEX(desa!A:A,MATCH(B118,desa!B:B,0))</f>
        <v>2</v>
      </c>
      <c r="M118" s="17" t="s">
        <v>460</v>
      </c>
      <c r="N118" s="11" t="str">
        <f t="shared" si="1"/>
        <v>('2;Budisari-1;Lanjut;Nyoman Lunas;81;77;;Jagung;Aktif;POKTAN'),</v>
      </c>
    </row>
    <row r="119" spans="1:14" s="11" customFormat="1" ht="20.5" customHeight="1">
      <c r="A119" s="15">
        <v>117</v>
      </c>
      <c r="B119" s="11" t="s">
        <v>321</v>
      </c>
      <c r="C119" s="11" t="s">
        <v>29</v>
      </c>
      <c r="D119" s="11" t="s">
        <v>333</v>
      </c>
      <c r="E119" s="11" t="s">
        <v>417</v>
      </c>
      <c r="F119" s="15">
        <v>46</v>
      </c>
      <c r="G119" s="22">
        <v>64.31</v>
      </c>
      <c r="I119" s="11" t="s">
        <v>334</v>
      </c>
      <c r="J119" s="11" t="s">
        <v>370</v>
      </c>
      <c r="L119" s="11">
        <f>INDEX(desa!A:A,MATCH(B119,desa!B:B,0))</f>
        <v>2</v>
      </c>
      <c r="M119" s="17" t="s">
        <v>460</v>
      </c>
      <c r="N119" s="11" t="str">
        <f t="shared" si="1"/>
        <v>('2;Budisari-2;Lanjut;I Nyoman Kadinata;46;64.31;;Jagung;Aktif;POKTAN'),</v>
      </c>
    </row>
    <row r="120" spans="1:14" s="11" customFormat="1" ht="20.5" customHeight="1">
      <c r="A120" s="15">
        <v>118</v>
      </c>
      <c r="B120" s="11" t="s">
        <v>321</v>
      </c>
      <c r="C120" s="11" t="s">
        <v>31</v>
      </c>
      <c r="D120" s="11" t="s">
        <v>317</v>
      </c>
      <c r="E120" s="11" t="s">
        <v>30</v>
      </c>
      <c r="F120" s="15">
        <v>42</v>
      </c>
      <c r="G120" s="22">
        <v>51.5</v>
      </c>
      <c r="I120" s="11" t="s">
        <v>334</v>
      </c>
      <c r="J120" s="11" t="s">
        <v>370</v>
      </c>
      <c r="L120" s="11">
        <f>INDEX(desa!A:A,MATCH(B120,desa!B:B,0))</f>
        <v>2</v>
      </c>
      <c r="M120" s="17" t="s">
        <v>460</v>
      </c>
      <c r="N120" s="11" t="str">
        <f t="shared" si="1"/>
        <v>('2;Buanasari;Madya;Wayan Murtha;42;51.5;;Jagung;Aktif;POKTAN'),</v>
      </c>
    </row>
    <row r="121" spans="1:14" s="11" customFormat="1" ht="20.5" customHeight="1">
      <c r="A121" s="15">
        <v>119</v>
      </c>
      <c r="B121" s="11" t="s">
        <v>321</v>
      </c>
      <c r="C121" s="11" t="s">
        <v>33</v>
      </c>
      <c r="D121" s="11" t="s">
        <v>317</v>
      </c>
      <c r="E121" s="11" t="s">
        <v>32</v>
      </c>
      <c r="F121" s="15">
        <v>60</v>
      </c>
      <c r="G121" s="22">
        <v>80.95</v>
      </c>
      <c r="I121" s="11" t="s">
        <v>334</v>
      </c>
      <c r="J121" s="11" t="s">
        <v>370</v>
      </c>
      <c r="L121" s="11">
        <f>INDEX(desa!A:A,MATCH(B121,desa!B:B,0))</f>
        <v>2</v>
      </c>
      <c r="M121" s="17" t="s">
        <v>460</v>
      </c>
      <c r="N121" s="11" t="str">
        <f t="shared" si="1"/>
        <v>('2;Yadnyasari I;Madya;Gede Budiartha;60;80.95;;Jagung;Aktif;POKTAN'),</v>
      </c>
    </row>
    <row r="122" spans="1:14" s="11" customFormat="1" ht="20.5" customHeight="1">
      <c r="A122" s="15">
        <v>120</v>
      </c>
      <c r="B122" s="11" t="s">
        <v>321</v>
      </c>
      <c r="C122" s="11" t="s">
        <v>35</v>
      </c>
      <c r="D122" s="11" t="s">
        <v>333</v>
      </c>
      <c r="E122" s="11" t="s">
        <v>34</v>
      </c>
      <c r="F122" s="15">
        <v>45</v>
      </c>
      <c r="G122" s="22">
        <v>88.11</v>
      </c>
      <c r="I122" s="11" t="s">
        <v>334</v>
      </c>
      <c r="J122" s="11" t="s">
        <v>370</v>
      </c>
      <c r="L122" s="11">
        <f>INDEX(desa!A:A,MATCH(B122,desa!B:B,0))</f>
        <v>2</v>
      </c>
      <c r="M122" s="17" t="s">
        <v>460</v>
      </c>
      <c r="N122" s="11" t="str">
        <f t="shared" si="1"/>
        <v>('2;Maju Bersama;Lanjut;Idham;45;88.11;;Jagung;Aktif;POKTAN'),</v>
      </c>
    </row>
    <row r="123" spans="1:14" s="11" customFormat="1" ht="20.5" customHeight="1">
      <c r="A123" s="15">
        <v>121</v>
      </c>
      <c r="B123" s="11" t="s">
        <v>321</v>
      </c>
      <c r="C123" s="11" t="s">
        <v>37</v>
      </c>
      <c r="D123" s="11" t="s">
        <v>333</v>
      </c>
      <c r="E123" s="11" t="s">
        <v>36</v>
      </c>
      <c r="F123" s="15">
        <v>20</v>
      </c>
      <c r="G123" s="22">
        <v>56.88</v>
      </c>
      <c r="I123" s="11" t="s">
        <v>334</v>
      </c>
      <c r="J123" s="11" t="s">
        <v>370</v>
      </c>
      <c r="L123" s="11">
        <f>INDEX(desa!A:A,MATCH(B123,desa!B:B,0))</f>
        <v>2</v>
      </c>
      <c r="M123" s="17" t="s">
        <v>460</v>
      </c>
      <c r="N123" s="11" t="str">
        <f t="shared" si="1"/>
        <v>('2;Batu Alang;Lanjut;Ramli Usman;20;56.88;;Jagung;Aktif;POKTAN'),</v>
      </c>
    </row>
    <row r="124" spans="1:14" s="11" customFormat="1" ht="20.5" customHeight="1">
      <c r="A124" s="15">
        <v>122</v>
      </c>
      <c r="B124" s="11" t="s">
        <v>321</v>
      </c>
      <c r="C124" s="11" t="s">
        <v>38</v>
      </c>
      <c r="D124" s="11" t="s">
        <v>333</v>
      </c>
      <c r="E124" s="11" t="s">
        <v>415</v>
      </c>
      <c r="F124" s="15">
        <v>41</v>
      </c>
      <c r="G124" s="22">
        <v>57.34</v>
      </c>
      <c r="I124" s="11" t="s">
        <v>334</v>
      </c>
      <c r="J124" s="11" t="s">
        <v>370</v>
      </c>
      <c r="L124" s="11">
        <f>INDEX(desa!A:A,MATCH(B124,desa!B:B,0))</f>
        <v>2</v>
      </c>
      <c r="M124" s="17" t="s">
        <v>460</v>
      </c>
      <c r="N124" s="11" t="str">
        <f t="shared" si="1"/>
        <v>('2;Bina Tani Terpadu-1;Lanjut;Shofyan;41;57.34;;Jagung;Aktif;POKTAN'),</v>
      </c>
    </row>
    <row r="125" spans="1:14" s="11" customFormat="1" ht="20.5" customHeight="1">
      <c r="A125" s="15">
        <v>123</v>
      </c>
      <c r="B125" s="11" t="s">
        <v>321</v>
      </c>
      <c r="C125" s="11" t="s">
        <v>40</v>
      </c>
      <c r="D125" s="11" t="s">
        <v>333</v>
      </c>
      <c r="E125" s="11" t="s">
        <v>39</v>
      </c>
      <c r="F125" s="15">
        <v>58</v>
      </c>
      <c r="G125" s="22">
        <v>69</v>
      </c>
      <c r="I125" s="11" t="s">
        <v>334</v>
      </c>
      <c r="J125" s="11" t="s">
        <v>370</v>
      </c>
      <c r="L125" s="11">
        <f>INDEX(desa!A:A,MATCH(B125,desa!B:B,0))</f>
        <v>2</v>
      </c>
      <c r="M125" s="17" t="s">
        <v>460</v>
      </c>
      <c r="N125" s="11" t="str">
        <f t="shared" si="1"/>
        <v>('2;Saling Beme;Lanjut;Ardianto;58;69;;Jagung;Aktif;POKTAN'),</v>
      </c>
    </row>
    <row r="126" spans="1:14" s="11" customFormat="1" ht="20.5" customHeight="1">
      <c r="A126" s="15">
        <v>124</v>
      </c>
      <c r="B126" s="11" t="s">
        <v>321</v>
      </c>
      <c r="C126" s="11" t="s">
        <v>42</v>
      </c>
      <c r="D126" s="11" t="s">
        <v>333</v>
      </c>
      <c r="E126" s="11" t="s">
        <v>41</v>
      </c>
      <c r="F126" s="15">
        <v>20</v>
      </c>
      <c r="G126" s="22">
        <v>5</v>
      </c>
      <c r="I126" s="11" t="s">
        <v>422</v>
      </c>
      <c r="J126" s="11" t="s">
        <v>370</v>
      </c>
      <c r="L126" s="11">
        <f>INDEX(desa!A:A,MATCH(B126,desa!B:B,0))</f>
        <v>2</v>
      </c>
      <c r="M126" s="17" t="s">
        <v>460</v>
      </c>
      <c r="N126" s="11" t="str">
        <f t="shared" si="1"/>
        <v>('2;Budisari;Lanjut;I Nengah Pendra;20;5;;Ternak ;Aktif;POKTAN'),</v>
      </c>
    </row>
    <row r="127" spans="1:14" s="11" customFormat="1" ht="20.5" customHeight="1">
      <c r="A127" s="15">
        <v>125</v>
      </c>
      <c r="B127" s="11" t="s">
        <v>321</v>
      </c>
      <c r="C127" s="11" t="s">
        <v>187</v>
      </c>
      <c r="D127" s="11" t="s">
        <v>333</v>
      </c>
      <c r="E127" s="11" t="s">
        <v>418</v>
      </c>
      <c r="F127" s="15">
        <v>93</v>
      </c>
      <c r="G127" s="22">
        <v>78.180000000000007</v>
      </c>
      <c r="I127" s="11" t="s">
        <v>334</v>
      </c>
      <c r="J127" s="11" t="s">
        <v>370</v>
      </c>
      <c r="L127" s="11">
        <f>INDEX(desa!A:A,MATCH(B127,desa!B:B,0))</f>
        <v>2</v>
      </c>
      <c r="M127" s="17" t="s">
        <v>460</v>
      </c>
      <c r="N127" s="11" t="str">
        <f t="shared" si="1"/>
        <v>('2;Yadnyasari II;Lanjut;I Nyoman Mutra;93;78.18;;Jagung;Aktif;POKTAN'),</v>
      </c>
    </row>
    <row r="128" spans="1:14" s="11" customFormat="1" ht="20.5" customHeight="1">
      <c r="A128" s="15">
        <v>126</v>
      </c>
      <c r="B128" s="11" t="s">
        <v>321</v>
      </c>
      <c r="C128" s="11" t="s">
        <v>208</v>
      </c>
      <c r="D128" s="11" t="s">
        <v>333</v>
      </c>
      <c r="E128" s="11" t="s">
        <v>207</v>
      </c>
      <c r="F128" s="15">
        <v>33</v>
      </c>
      <c r="G128" s="22">
        <v>44.75</v>
      </c>
      <c r="I128" s="11" t="s">
        <v>334</v>
      </c>
      <c r="J128" s="11" t="s">
        <v>370</v>
      </c>
      <c r="L128" s="11">
        <f>INDEX(desa!A:A,MATCH(B128,desa!B:B,0))</f>
        <v>2</v>
      </c>
      <c r="M128" s="17" t="s">
        <v>460</v>
      </c>
      <c r="N128" s="11" t="str">
        <f t="shared" si="1"/>
        <v>('2;Paloma Makmur;Lanjut;I Wayan Swarsana;33;44.75;;Jagung;Aktif;POKTAN'),</v>
      </c>
    </row>
    <row r="129" spans="1:14" s="11" customFormat="1" ht="20.5" customHeight="1">
      <c r="A129" s="15">
        <v>127</v>
      </c>
      <c r="B129" s="11" t="s">
        <v>321</v>
      </c>
      <c r="C129" s="11" t="s">
        <v>230</v>
      </c>
      <c r="D129" s="11" t="s">
        <v>333</v>
      </c>
      <c r="E129" s="11" t="s">
        <v>229</v>
      </c>
      <c r="F129" s="15">
        <v>28</v>
      </c>
      <c r="G129" s="22">
        <v>40.229999999999997</v>
      </c>
      <c r="I129" s="11" t="s">
        <v>334</v>
      </c>
      <c r="J129" s="11" t="s">
        <v>370</v>
      </c>
      <c r="L129" s="11">
        <f>INDEX(desa!A:A,MATCH(B129,desa!B:B,0))</f>
        <v>2</v>
      </c>
      <c r="M129" s="17" t="s">
        <v>460</v>
      </c>
      <c r="N129" s="11" t="str">
        <f t="shared" si="1"/>
        <v>('2;Nusa Damai;Lanjut;Ketut Sada;28;40.23;;Jagung;Aktif;POKTAN'),</v>
      </c>
    </row>
    <row r="130" spans="1:14" s="11" customFormat="1" ht="20.5" customHeight="1">
      <c r="A130" s="15">
        <v>128</v>
      </c>
      <c r="B130" s="11" t="s">
        <v>321</v>
      </c>
      <c r="C130" s="11" t="s">
        <v>232</v>
      </c>
      <c r="D130" s="11" t="s">
        <v>333</v>
      </c>
      <c r="E130" s="11" t="s">
        <v>231</v>
      </c>
      <c r="F130" s="15">
        <v>47</v>
      </c>
      <c r="G130" s="22">
        <v>63.5</v>
      </c>
      <c r="I130" s="11" t="s">
        <v>334</v>
      </c>
      <c r="J130" s="11" t="s">
        <v>370</v>
      </c>
      <c r="L130" s="11">
        <f>INDEX(desa!A:A,MATCH(B130,desa!B:B,0))</f>
        <v>2</v>
      </c>
      <c r="M130" s="17" t="s">
        <v>460</v>
      </c>
      <c r="N130" s="11" t="str">
        <f t="shared" si="1"/>
        <v>('2;Budisari III;Lanjut;I Wayan Kasta;47;63.5;;Jagung;Aktif;POKTAN'),</v>
      </c>
    </row>
    <row r="131" spans="1:14" s="11" customFormat="1" ht="20.5" customHeight="1">
      <c r="A131" s="15">
        <v>129</v>
      </c>
      <c r="B131" s="11" t="s">
        <v>321</v>
      </c>
      <c r="C131" s="11" t="s">
        <v>233</v>
      </c>
      <c r="D131" s="11" t="s">
        <v>333</v>
      </c>
      <c r="E131" s="11" t="s">
        <v>416</v>
      </c>
      <c r="F131" s="15">
        <v>20</v>
      </c>
      <c r="G131" s="22">
        <v>37.81</v>
      </c>
      <c r="I131" s="11" t="s">
        <v>334</v>
      </c>
      <c r="J131" s="11" t="s">
        <v>370</v>
      </c>
      <c r="L131" s="11">
        <f>INDEX(desa!A:A,MATCH(B131,desa!B:B,0))</f>
        <v>2</v>
      </c>
      <c r="M131" s="17" t="s">
        <v>460</v>
      </c>
      <c r="N131" s="11" t="str">
        <f t="shared" si="1"/>
        <v>('2;Batu Guring;Lanjut;Muhammad Dahlan;20;37.81;;Jagung;Aktif;POKTAN'),</v>
      </c>
    </row>
    <row r="132" spans="1:14" s="11" customFormat="1" ht="20.5" customHeight="1">
      <c r="A132" s="15">
        <v>130</v>
      </c>
      <c r="B132" s="11" t="s">
        <v>321</v>
      </c>
      <c r="C132" s="11" t="s">
        <v>451</v>
      </c>
      <c r="E132" s="11" t="s">
        <v>241</v>
      </c>
      <c r="F132" s="15">
        <v>10</v>
      </c>
      <c r="G132" s="22"/>
      <c r="I132" s="11" t="s">
        <v>446</v>
      </c>
      <c r="J132" s="11" t="s">
        <v>370</v>
      </c>
      <c r="L132" s="11">
        <f>INDEX(desa!A:A,MATCH(B132,desa!B:B,0))</f>
        <v>2</v>
      </c>
      <c r="M132" s="17" t="s">
        <v>460</v>
      </c>
      <c r="N132" s="11" t="str">
        <f t="shared" ref="N132:N180" si="2">CONCATENATE("('",L132,";",TRIM(LEFT(C132,FIND("  ",C132)-1)),";",D132,";",E132,";",F132,";",G132,";",H132,";",I132,";",J132,";",M132,"'),")</f>
        <v>('2;KWT Anggrek;;Herlina;10;;;Pengolahan Hasil Pertanian;Aktif;POKTAN'),</v>
      </c>
    </row>
    <row r="133" spans="1:14" s="11" customFormat="1" ht="20.5" customHeight="1">
      <c r="A133" s="15">
        <v>131</v>
      </c>
      <c r="B133" s="11" t="s">
        <v>321</v>
      </c>
      <c r="C133" s="11" t="s">
        <v>300</v>
      </c>
      <c r="D133" s="11" t="s">
        <v>333</v>
      </c>
      <c r="E133" s="11" t="s">
        <v>245</v>
      </c>
      <c r="F133" s="15">
        <v>19</v>
      </c>
      <c r="G133" s="22">
        <v>35.72</v>
      </c>
      <c r="I133" s="11" t="s">
        <v>334</v>
      </c>
      <c r="J133" s="11" t="s">
        <v>370</v>
      </c>
      <c r="L133" s="11">
        <f>INDEX(desa!A:A,MATCH(B133,desa!B:B,0))</f>
        <v>2</v>
      </c>
      <c r="M133" s="17" t="s">
        <v>460</v>
      </c>
      <c r="N133" s="11" t="str">
        <f t="shared" si="2"/>
        <v>('2;Saling sakiki;Lanjut;Heriansyah;19;35.72;;Jagung;Aktif;POKTAN'),</v>
      </c>
    </row>
    <row r="134" spans="1:14" s="11" customFormat="1" ht="20.5" customHeight="1">
      <c r="A134" s="15">
        <v>132</v>
      </c>
      <c r="B134" s="11" t="s">
        <v>321</v>
      </c>
      <c r="C134" s="11" t="s">
        <v>299</v>
      </c>
      <c r="D134" s="11" t="s">
        <v>333</v>
      </c>
      <c r="E134" s="11" t="s">
        <v>255</v>
      </c>
      <c r="F134" s="15">
        <v>14</v>
      </c>
      <c r="G134" s="22">
        <v>62.24</v>
      </c>
      <c r="I134" s="11" t="s">
        <v>334</v>
      </c>
      <c r="J134" s="11" t="s">
        <v>370</v>
      </c>
      <c r="L134" s="11">
        <f>INDEX(desa!A:A,MATCH(B134,desa!B:B,0))</f>
        <v>2</v>
      </c>
      <c r="M134" s="17" t="s">
        <v>460</v>
      </c>
      <c r="N134" s="11" t="str">
        <f t="shared" si="2"/>
        <v>('2;Subali;Lanjut;Sul Bahri;14;62.24;;Jagung;Aktif;POKTAN'),</v>
      </c>
    </row>
    <row r="135" spans="1:14" s="11" customFormat="1" ht="20.5" customHeight="1">
      <c r="A135" s="15">
        <v>133</v>
      </c>
      <c r="B135" s="11" t="s">
        <v>321</v>
      </c>
      <c r="C135" s="11" t="s">
        <v>257</v>
      </c>
      <c r="D135" s="11" t="s">
        <v>333</v>
      </c>
      <c r="E135" s="11" t="s">
        <v>256</v>
      </c>
      <c r="F135" s="15">
        <v>22</v>
      </c>
      <c r="G135" s="22">
        <v>30.21</v>
      </c>
      <c r="I135" s="11" t="s">
        <v>334</v>
      </c>
      <c r="J135" s="11" t="s">
        <v>370</v>
      </c>
      <c r="L135" s="11">
        <f>INDEX(desa!A:A,MATCH(B135,desa!B:B,0))</f>
        <v>2</v>
      </c>
      <c r="M135" s="17" t="s">
        <v>460</v>
      </c>
      <c r="N135" s="11" t="str">
        <f t="shared" si="2"/>
        <v>('2;Bukit Tinggi;Lanjut;Andi Ari;22;30.21;;Jagung;Aktif;POKTAN'),</v>
      </c>
    </row>
    <row r="136" spans="1:14" s="11" customFormat="1" ht="20.5" customHeight="1">
      <c r="A136" s="15">
        <v>134</v>
      </c>
      <c r="B136" s="11" t="s">
        <v>321</v>
      </c>
      <c r="C136" s="11" t="s">
        <v>280</v>
      </c>
      <c r="D136" s="11" t="s">
        <v>333</v>
      </c>
      <c r="E136" s="11" t="s">
        <v>250</v>
      </c>
      <c r="F136" s="15">
        <v>33</v>
      </c>
      <c r="G136" s="22">
        <v>77.459999999999994</v>
      </c>
      <c r="I136" s="11" t="s">
        <v>334</v>
      </c>
      <c r="J136" s="11" t="s">
        <v>370</v>
      </c>
      <c r="L136" s="11">
        <f>INDEX(desa!A:A,MATCH(B136,desa!B:B,0))</f>
        <v>2</v>
      </c>
      <c r="M136" s="17" t="s">
        <v>460</v>
      </c>
      <c r="N136" s="11" t="str">
        <f t="shared" si="2"/>
        <v>('2;Subur Jaya;Lanjut;Hudari;33;77.46;;Jagung;Aktif;POKTAN'),</v>
      </c>
    </row>
    <row r="137" spans="1:14" s="11" customFormat="1" ht="20.5" customHeight="1">
      <c r="A137" s="15">
        <v>135</v>
      </c>
      <c r="B137" s="11" t="s">
        <v>321</v>
      </c>
      <c r="C137" s="11" t="s">
        <v>473</v>
      </c>
      <c r="D137" s="11" t="s">
        <v>333</v>
      </c>
      <c r="E137" s="11" t="s">
        <v>41</v>
      </c>
      <c r="F137" s="15">
        <v>20</v>
      </c>
      <c r="G137" s="22">
        <v>5</v>
      </c>
      <c r="I137" s="11" t="s">
        <v>423</v>
      </c>
      <c r="J137" s="11" t="s">
        <v>370</v>
      </c>
      <c r="L137" s="11">
        <f>INDEX(desa!A:A,MATCH(B137,desa!B:B,0))</f>
        <v>2</v>
      </c>
      <c r="M137" s="17" t="s">
        <v>460</v>
      </c>
      <c r="N137" s="11" t="str">
        <f t="shared" si="2"/>
        <v>('2;Budisari;Lanjut;I Nengah Pendra;20;5;;Ternak;Aktif;POKTAN'),</v>
      </c>
    </row>
    <row r="138" spans="1:14" s="11" customFormat="1" ht="20.5" customHeight="1">
      <c r="A138" s="15">
        <v>136</v>
      </c>
      <c r="B138" s="11" t="s">
        <v>321</v>
      </c>
      <c r="C138" s="11" t="s">
        <v>419</v>
      </c>
      <c r="D138" s="11" t="s">
        <v>319</v>
      </c>
      <c r="E138" s="11" t="s">
        <v>420</v>
      </c>
      <c r="F138" s="15">
        <v>12</v>
      </c>
      <c r="G138" s="22">
        <v>1</v>
      </c>
      <c r="I138" s="11" t="s">
        <v>371</v>
      </c>
      <c r="J138" s="11" t="s">
        <v>370</v>
      </c>
      <c r="L138" s="11">
        <f>INDEX(desa!A:A,MATCH(B138,desa!B:B,0))</f>
        <v>2</v>
      </c>
      <c r="M138" s="17" t="s">
        <v>460</v>
      </c>
      <c r="N138" s="11" t="str">
        <f t="shared" si="2"/>
        <v>('2;Hortikultura Subur Jaya;Pemula;Mustajidian Akbar;12;1;;Hortikultura;Aktif;POKTAN'),</v>
      </c>
    </row>
    <row r="139" spans="1:14" s="11" customFormat="1" ht="20.5" customHeight="1">
      <c r="A139" s="15">
        <v>137</v>
      </c>
      <c r="B139" s="11" t="s">
        <v>321</v>
      </c>
      <c r="C139" s="11" t="s">
        <v>288</v>
      </c>
      <c r="D139" s="11" t="s">
        <v>319</v>
      </c>
      <c r="E139" s="11" t="s">
        <v>421</v>
      </c>
      <c r="F139" s="15">
        <v>19</v>
      </c>
      <c r="G139" s="22">
        <v>1</v>
      </c>
      <c r="I139" s="11" t="s">
        <v>371</v>
      </c>
      <c r="J139" s="11" t="s">
        <v>378</v>
      </c>
      <c r="L139" s="11">
        <f>INDEX(desa!A:A,MATCH(B139,desa!B:B,0))</f>
        <v>2</v>
      </c>
      <c r="M139" s="17" t="s">
        <v>460</v>
      </c>
      <c r="N139" s="11" t="str">
        <f t="shared" si="2"/>
        <v>('2;Bali Amanah;Pemula;Nengah Hardika;19;1;;Hortikultura;Tidak Aktif;POKTAN'),</v>
      </c>
    </row>
    <row r="140" spans="1:14" s="11" customFormat="1" ht="20.5" customHeight="1">
      <c r="A140" s="15">
        <v>138</v>
      </c>
      <c r="B140" s="11" t="s">
        <v>321</v>
      </c>
      <c r="C140" s="11" t="s">
        <v>474</v>
      </c>
      <c r="D140" s="11" t="s">
        <v>319</v>
      </c>
      <c r="E140" s="11" t="s">
        <v>39</v>
      </c>
      <c r="F140" s="15">
        <v>25</v>
      </c>
      <c r="G140" s="22">
        <v>2</v>
      </c>
      <c r="I140" s="11" t="s">
        <v>371</v>
      </c>
      <c r="J140" s="11" t="s">
        <v>378</v>
      </c>
      <c r="L140" s="11">
        <f>INDEX(desa!A:A,MATCH(B140,desa!B:B,0))</f>
        <v>2</v>
      </c>
      <c r="M140" s="17" t="s">
        <v>460</v>
      </c>
      <c r="N140" s="11" t="str">
        <f t="shared" si="2"/>
        <v>('2;Bukit Indah;Pemula;Ardianto;25;2;;Hortikultura;Tidak Aktif;POKTAN'),</v>
      </c>
    </row>
    <row r="141" spans="1:14" s="11" customFormat="1" ht="20" customHeight="1">
      <c r="A141" s="15">
        <v>139</v>
      </c>
      <c r="B141" s="11" t="s">
        <v>322</v>
      </c>
      <c r="C141" s="11" t="s">
        <v>44</v>
      </c>
      <c r="E141" s="11" t="s">
        <v>43</v>
      </c>
      <c r="F141" s="15">
        <v>23</v>
      </c>
      <c r="G141" s="22">
        <v>14.81</v>
      </c>
      <c r="H141" s="21" t="s">
        <v>437</v>
      </c>
      <c r="I141" s="11" t="s">
        <v>450</v>
      </c>
      <c r="J141" s="11" t="s">
        <v>370</v>
      </c>
      <c r="L141" s="11">
        <f>INDEX(desa!A:A,MATCH(B141,desa!B:B,0))</f>
        <v>7</v>
      </c>
      <c r="M141" s="17" t="s">
        <v>460</v>
      </c>
      <c r="N141" s="11" t="str">
        <f t="shared" si="2"/>
        <v>('7;Angin Topan;;Saat;23;14.81;-8.60631603, 116.86230128;Tanaman Pangan;Aktif;POKTAN'),</v>
      </c>
    </row>
    <row r="142" spans="1:14" s="11" customFormat="1" ht="20.5" customHeight="1">
      <c r="A142" s="15">
        <v>140</v>
      </c>
      <c r="B142" s="11" t="s">
        <v>322</v>
      </c>
      <c r="C142" s="11" t="s">
        <v>46</v>
      </c>
      <c r="E142" s="11" t="s">
        <v>45</v>
      </c>
      <c r="F142" s="15">
        <v>22</v>
      </c>
      <c r="G142" s="22">
        <v>15.88</v>
      </c>
      <c r="H142" s="21" t="s">
        <v>430</v>
      </c>
      <c r="I142" s="11" t="s">
        <v>450</v>
      </c>
      <c r="J142" s="11" t="s">
        <v>370</v>
      </c>
      <c r="L142" s="11">
        <f>INDEX(desa!A:A,MATCH(B142,desa!B:B,0))</f>
        <v>7</v>
      </c>
      <c r="M142" s="17" t="s">
        <v>460</v>
      </c>
      <c r="N142" s="11" t="str">
        <f t="shared" si="2"/>
        <v>('7;Saling Asih;;Nurdin. S.Pd;22;15.88;-8.61274451, 116.86232735;Tanaman Pangan;Aktif;POKTAN'),</v>
      </c>
    </row>
    <row r="143" spans="1:14" s="11" customFormat="1" ht="20.5" customHeight="1">
      <c r="A143" s="15">
        <v>141</v>
      </c>
      <c r="B143" s="11" t="s">
        <v>322</v>
      </c>
      <c r="C143" s="11" t="s">
        <v>48</v>
      </c>
      <c r="E143" s="11" t="s">
        <v>47</v>
      </c>
      <c r="F143" s="15">
        <v>23</v>
      </c>
      <c r="G143" s="22">
        <v>17.75</v>
      </c>
      <c r="H143" s="21" t="s">
        <v>434</v>
      </c>
      <c r="I143" s="11" t="s">
        <v>450</v>
      </c>
      <c r="J143" s="11" t="s">
        <v>370</v>
      </c>
      <c r="L143" s="11">
        <f>INDEX(desa!A:A,MATCH(B143,desa!B:B,0))</f>
        <v>7</v>
      </c>
      <c r="M143" s="17" t="s">
        <v>460</v>
      </c>
      <c r="N143" s="11" t="str">
        <f t="shared" si="2"/>
        <v>('7;Bumi Damai;;Mustakim;23;17.75;-8.61323584, 116.86288882;Tanaman Pangan;Aktif;POKTAN'),</v>
      </c>
    </row>
    <row r="144" spans="1:14" s="11" customFormat="1" ht="20.5" customHeight="1">
      <c r="A144" s="15">
        <v>142</v>
      </c>
      <c r="B144" s="11" t="s">
        <v>322</v>
      </c>
      <c r="C144" s="11" t="s">
        <v>50</v>
      </c>
      <c r="E144" s="11" t="s">
        <v>49</v>
      </c>
      <c r="F144" s="15">
        <v>23</v>
      </c>
      <c r="G144" s="22">
        <v>11.43</v>
      </c>
      <c r="H144" s="21" t="s">
        <v>435</v>
      </c>
      <c r="I144" s="11" t="s">
        <v>450</v>
      </c>
      <c r="J144" s="11" t="s">
        <v>370</v>
      </c>
      <c r="L144" s="11">
        <f>INDEX(desa!A:A,MATCH(B144,desa!B:B,0))</f>
        <v>7</v>
      </c>
      <c r="M144" s="17" t="s">
        <v>460</v>
      </c>
      <c r="N144" s="11" t="str">
        <f t="shared" si="2"/>
        <v>('7;Balong Ate;;Sudarli Pedil;23;11.43;-8.60125916, 166.86082983;Tanaman Pangan;Aktif;POKTAN'),</v>
      </c>
    </row>
    <row r="145" spans="1:14" s="11" customFormat="1" ht="20.5" customHeight="1">
      <c r="A145" s="15">
        <v>143</v>
      </c>
      <c r="B145" s="11" t="s">
        <v>322</v>
      </c>
      <c r="C145" s="11" t="s">
        <v>52</v>
      </c>
      <c r="E145" s="11" t="s">
        <v>51</v>
      </c>
      <c r="F145" s="15">
        <v>20</v>
      </c>
      <c r="G145" s="22">
        <v>10.46</v>
      </c>
      <c r="H145" s="21" t="s">
        <v>431</v>
      </c>
      <c r="I145" s="11" t="s">
        <v>450</v>
      </c>
      <c r="J145" s="11" t="s">
        <v>370</v>
      </c>
      <c r="L145" s="11">
        <f>INDEX(desa!A:A,MATCH(B145,desa!B:B,0))</f>
        <v>7</v>
      </c>
      <c r="M145" s="17" t="s">
        <v>460</v>
      </c>
      <c r="N145" s="11" t="str">
        <f t="shared" si="2"/>
        <v>('7;Pendi Jangi;;Saepul;20;10.46;-8.60263598, 116.86090706;Tanaman Pangan;Aktif;POKTAN'),</v>
      </c>
    </row>
    <row r="146" spans="1:14" s="11" customFormat="1" ht="20.5" customHeight="1">
      <c r="A146" s="15">
        <v>144</v>
      </c>
      <c r="B146" s="11" t="s">
        <v>322</v>
      </c>
      <c r="C146" s="11" t="s">
        <v>54</v>
      </c>
      <c r="E146" s="11" t="s">
        <v>53</v>
      </c>
      <c r="F146" s="15">
        <v>20</v>
      </c>
      <c r="G146" s="22">
        <v>11.42</v>
      </c>
      <c r="H146" s="21" t="s">
        <v>433</v>
      </c>
      <c r="I146" s="11" t="s">
        <v>450</v>
      </c>
      <c r="J146" s="11" t="s">
        <v>370</v>
      </c>
      <c r="L146" s="11">
        <f>INDEX(desa!A:A,MATCH(B146,desa!B:B,0))</f>
        <v>7</v>
      </c>
      <c r="M146" s="17" t="s">
        <v>460</v>
      </c>
      <c r="N146" s="11" t="str">
        <f t="shared" si="2"/>
        <v>('7;Mares Balong;;Kuling;20;11.42;-8.61232394, 116.86252054;Tanaman Pangan;Aktif;POKTAN'),</v>
      </c>
    </row>
    <row r="147" spans="1:14" s="11" customFormat="1" ht="20.5" customHeight="1">
      <c r="A147" s="15">
        <v>145</v>
      </c>
      <c r="B147" s="11" t="s">
        <v>322</v>
      </c>
      <c r="C147" s="11" t="s">
        <v>56</v>
      </c>
      <c r="E147" s="11" t="s">
        <v>55</v>
      </c>
      <c r="F147" s="15">
        <v>15</v>
      </c>
      <c r="G147" s="22">
        <v>4.5</v>
      </c>
      <c r="H147" s="21" t="s">
        <v>432</v>
      </c>
      <c r="I147" s="11" t="s">
        <v>450</v>
      </c>
      <c r="J147" s="11" t="s">
        <v>370</v>
      </c>
      <c r="L147" s="11">
        <f>INDEX(desa!A:A,MATCH(B147,desa!B:B,0))</f>
        <v>7</v>
      </c>
      <c r="M147" s="17" t="s">
        <v>460</v>
      </c>
      <c r="N147" s="11" t="str">
        <f t="shared" si="2"/>
        <v>('7;Panusak;;Ibrahim, HMS.BA;15;4.5;-8.61294688, 116.85997122;Tanaman Pangan;Aktif;POKTAN'),</v>
      </c>
    </row>
    <row r="148" spans="1:14" s="11" customFormat="1" ht="20.5" customHeight="1">
      <c r="A148" s="15">
        <v>146</v>
      </c>
      <c r="B148" s="11" t="s">
        <v>322</v>
      </c>
      <c r="C148" s="11" t="s">
        <v>58</v>
      </c>
      <c r="E148" s="11" t="s">
        <v>57</v>
      </c>
      <c r="F148" s="15">
        <v>17</v>
      </c>
      <c r="G148" s="22"/>
      <c r="I148" s="11" t="s">
        <v>446</v>
      </c>
      <c r="J148" s="11" t="s">
        <v>370</v>
      </c>
      <c r="L148" s="11">
        <f>INDEX(desa!A:A,MATCH(B148,desa!B:B,0))</f>
        <v>7</v>
      </c>
      <c r="M148" s="17" t="s">
        <v>460</v>
      </c>
      <c r="N148" s="11" t="str">
        <f t="shared" si="2"/>
        <v>('7;Sarere Ate;;Sri Ekawati;17;;;Pengolahan Hasil Pertanian;Aktif;POKTAN'),</v>
      </c>
    </row>
    <row r="149" spans="1:14" s="11" customFormat="1" ht="20.5" customHeight="1">
      <c r="A149" s="15">
        <v>147</v>
      </c>
      <c r="B149" s="11" t="s">
        <v>322</v>
      </c>
      <c r="C149" s="11" t="s">
        <v>60</v>
      </c>
      <c r="E149" s="11" t="s">
        <v>59</v>
      </c>
      <c r="F149" s="15">
        <v>32</v>
      </c>
      <c r="G149" s="22"/>
      <c r="I149" s="11" t="s">
        <v>446</v>
      </c>
      <c r="J149" s="11" t="s">
        <v>370</v>
      </c>
      <c r="L149" s="11">
        <f>INDEX(desa!A:A,MATCH(B149,desa!B:B,0))</f>
        <v>7</v>
      </c>
      <c r="M149" s="17" t="s">
        <v>460</v>
      </c>
      <c r="N149" s="11" t="str">
        <f t="shared" si="2"/>
        <v>('7;Kamboja;;Bidawan;32;;;Pengolahan Hasil Pertanian;Aktif;POKTAN'),</v>
      </c>
    </row>
    <row r="150" spans="1:14" s="11" customFormat="1" ht="20.5" customHeight="1">
      <c r="A150" s="15">
        <v>148</v>
      </c>
      <c r="B150" s="11" t="s">
        <v>322</v>
      </c>
      <c r="C150" s="11" t="s">
        <v>186</v>
      </c>
      <c r="E150" s="11" t="s">
        <v>185</v>
      </c>
      <c r="F150" s="15">
        <v>15</v>
      </c>
      <c r="G150" s="22">
        <v>4.8899999999999997</v>
      </c>
      <c r="H150" s="21" t="s">
        <v>436</v>
      </c>
      <c r="I150" s="11" t="s">
        <v>450</v>
      </c>
      <c r="J150" s="11" t="s">
        <v>370</v>
      </c>
      <c r="L150" s="11">
        <f>INDEX(desa!A:A,MATCH(B150,desa!B:B,0))</f>
        <v>7</v>
      </c>
      <c r="M150" s="17" t="s">
        <v>460</v>
      </c>
      <c r="N150" s="11" t="str">
        <f t="shared" si="2"/>
        <v>('7;Ai Rantok;;Hasan Basri;15;4.89;-8.61247876, 116.86238904;Tanaman Pangan;Aktif;POKTAN'),</v>
      </c>
    </row>
    <row r="151" spans="1:14" s="11" customFormat="1" ht="20.5" customHeight="1">
      <c r="A151" s="15">
        <v>149</v>
      </c>
      <c r="B151" s="11" t="s">
        <v>322</v>
      </c>
      <c r="C151" s="11" t="s">
        <v>194</v>
      </c>
      <c r="E151" s="11" t="s">
        <v>193</v>
      </c>
      <c r="F151" s="15">
        <v>20</v>
      </c>
      <c r="G151" s="22">
        <v>34</v>
      </c>
      <c r="H151" s="21" t="s">
        <v>438</v>
      </c>
      <c r="I151" s="11" t="s">
        <v>450</v>
      </c>
      <c r="J151" s="11" t="s">
        <v>370</v>
      </c>
      <c r="L151" s="11">
        <f>INDEX(desa!A:A,MATCH(B151,desa!B:B,0))</f>
        <v>7</v>
      </c>
      <c r="M151" s="17" t="s">
        <v>460</v>
      </c>
      <c r="N151" s="11" t="str">
        <f t="shared" si="2"/>
        <v>('7;Jorok Kaset;;Abdurrahman;20;34;-8.59421367, 116.86086383;Tanaman Pangan;Aktif;POKTAN'),</v>
      </c>
    </row>
    <row r="152" spans="1:14" s="11" customFormat="1" ht="20.5" customHeight="1">
      <c r="A152" s="15">
        <v>150</v>
      </c>
      <c r="B152" s="11" t="s">
        <v>322</v>
      </c>
      <c r="C152" s="11" t="s">
        <v>258</v>
      </c>
      <c r="E152" s="11" t="s">
        <v>304</v>
      </c>
      <c r="F152" s="15">
        <v>15</v>
      </c>
      <c r="G152" s="22">
        <v>7.26</v>
      </c>
      <c r="H152" s="11" t="s">
        <v>429</v>
      </c>
      <c r="I152" s="11" t="s">
        <v>450</v>
      </c>
      <c r="J152" s="11" t="s">
        <v>370</v>
      </c>
      <c r="L152" s="11">
        <f>INDEX(desa!A:A,MATCH(B152,desa!B:B,0))</f>
        <v>7</v>
      </c>
      <c r="M152" s="17" t="s">
        <v>460</v>
      </c>
      <c r="N152" s="11" t="str">
        <f t="shared" si="2"/>
        <v>('7;Tengkal Tebo;;Rizal Perdana P. ;15;7.26;]-8.61384522, 166.85860798;Tanaman Pangan;Aktif;POKTAN'),</v>
      </c>
    </row>
    <row r="153" spans="1:14" s="11" customFormat="1" ht="20.5" customHeight="1">
      <c r="A153" s="15">
        <v>151</v>
      </c>
      <c r="B153" s="11" t="s">
        <v>322</v>
      </c>
      <c r="C153" s="11" t="s">
        <v>475</v>
      </c>
      <c r="E153" s="11" t="s">
        <v>173</v>
      </c>
      <c r="F153" s="15">
        <v>20</v>
      </c>
      <c r="G153" s="22">
        <v>34</v>
      </c>
      <c r="H153" s="21" t="s">
        <v>438</v>
      </c>
      <c r="I153" s="11" t="s">
        <v>450</v>
      </c>
      <c r="J153" s="11" t="s">
        <v>370</v>
      </c>
      <c r="L153" s="11">
        <f>INDEX(desa!A:A,MATCH(B153,desa!B:B,0))</f>
        <v>7</v>
      </c>
      <c r="M153" s="17" t="s">
        <v>460</v>
      </c>
      <c r="N153" s="11" t="str">
        <f t="shared" si="2"/>
        <v>('7;Aris Untung;;Abdul Wahab;20;34;-8.59421367, 116.86086383;Tanaman Pangan;Aktif;POKTAN'),</v>
      </c>
    </row>
    <row r="154" spans="1:14" s="11" customFormat="1" ht="20.5" customHeight="1">
      <c r="A154" s="15">
        <v>152</v>
      </c>
      <c r="B154" s="11" t="s">
        <v>328</v>
      </c>
      <c r="C154" s="11" t="s">
        <v>105</v>
      </c>
      <c r="D154" s="11" t="s">
        <v>333</v>
      </c>
      <c r="E154" s="11" t="s">
        <v>104</v>
      </c>
      <c r="F154" s="15">
        <v>35</v>
      </c>
      <c r="G154" s="22">
        <v>26</v>
      </c>
      <c r="I154" s="11" t="s">
        <v>450</v>
      </c>
      <c r="J154" s="11" t="s">
        <v>370</v>
      </c>
      <c r="L154" s="11">
        <f>INDEX(desa!A:A,MATCH(B154,desa!B:B,0))</f>
        <v>8</v>
      </c>
      <c r="M154" s="17" t="s">
        <v>460</v>
      </c>
      <c r="N154" s="11" t="str">
        <f t="shared" si="2"/>
        <v>('8;Harapan Baru;Lanjut;Ahmad Kadir;35;26;;Tanaman Pangan;Aktif;POKTAN'),</v>
      </c>
    </row>
    <row r="155" spans="1:14" s="11" customFormat="1" ht="20.5" customHeight="1">
      <c r="A155" s="15">
        <v>153</v>
      </c>
      <c r="B155" s="11" t="s">
        <v>328</v>
      </c>
      <c r="C155" s="11" t="s">
        <v>424</v>
      </c>
      <c r="D155" s="11" t="s">
        <v>333</v>
      </c>
      <c r="E155" s="11" t="s">
        <v>425</v>
      </c>
      <c r="F155" s="15">
        <v>56</v>
      </c>
      <c r="G155" s="22">
        <v>47</v>
      </c>
      <c r="I155" s="11" t="s">
        <v>450</v>
      </c>
      <c r="J155" s="11" t="s">
        <v>370</v>
      </c>
      <c r="L155" s="11">
        <f>INDEX(desa!A:A,MATCH(B155,desa!B:B,0))</f>
        <v>8</v>
      </c>
      <c r="M155" s="17" t="s">
        <v>460</v>
      </c>
      <c r="N155" s="11" t="str">
        <f t="shared" si="2"/>
        <v>('8;Palabu Jabas;Lanjut;Hamzah Gading;56;47;;Tanaman Pangan;Aktif;POKTAN'),</v>
      </c>
    </row>
    <row r="156" spans="1:14" s="11" customFormat="1" ht="20.5" customHeight="1">
      <c r="A156" s="15">
        <v>154</v>
      </c>
      <c r="B156" s="11" t="s">
        <v>328</v>
      </c>
      <c r="C156" s="11" t="s">
        <v>107</v>
      </c>
      <c r="D156" s="11" t="s">
        <v>333</v>
      </c>
      <c r="E156" s="11" t="s">
        <v>106</v>
      </c>
      <c r="F156" s="15">
        <v>38</v>
      </c>
      <c r="G156" s="22">
        <v>32</v>
      </c>
      <c r="I156" s="11" t="s">
        <v>450</v>
      </c>
      <c r="J156" s="11" t="s">
        <v>370</v>
      </c>
      <c r="L156" s="11">
        <f>INDEX(desa!A:A,MATCH(B156,desa!B:B,0))</f>
        <v>8</v>
      </c>
      <c r="M156" s="17" t="s">
        <v>460</v>
      </c>
      <c r="N156" s="11" t="str">
        <f t="shared" si="2"/>
        <v>('8;Pulau Dua;Lanjut;Hemad Amin;38;32;;Tanaman Pangan;Aktif;POKTAN'),</v>
      </c>
    </row>
    <row r="157" spans="1:14" s="11" customFormat="1" ht="20.5" customHeight="1">
      <c r="A157" s="15">
        <v>155</v>
      </c>
      <c r="B157" s="11" t="s">
        <v>328</v>
      </c>
      <c r="C157" s="11" t="s">
        <v>109</v>
      </c>
      <c r="D157" s="11" t="s">
        <v>333</v>
      </c>
      <c r="E157" s="11" t="s">
        <v>108</v>
      </c>
      <c r="F157" s="15">
        <v>45</v>
      </c>
      <c r="G157" s="22">
        <v>36</v>
      </c>
      <c r="I157" s="11" t="s">
        <v>450</v>
      </c>
      <c r="J157" s="11" t="s">
        <v>370</v>
      </c>
      <c r="L157" s="11">
        <f>INDEX(desa!A:A,MATCH(B157,desa!B:B,0))</f>
        <v>8</v>
      </c>
      <c r="M157" s="17" t="s">
        <v>460</v>
      </c>
      <c r="N157" s="11" t="str">
        <f t="shared" si="2"/>
        <v>('8;Nanga Biru;Lanjut;Jamaluddin;45;36;;Tanaman Pangan;Aktif;POKTAN'),</v>
      </c>
    </row>
    <row r="158" spans="1:14" s="11" customFormat="1" ht="20.5" customHeight="1">
      <c r="A158" s="15">
        <v>156</v>
      </c>
      <c r="B158" s="11" t="s">
        <v>328</v>
      </c>
      <c r="C158" s="11" t="s">
        <v>111</v>
      </c>
      <c r="D158" s="11" t="s">
        <v>333</v>
      </c>
      <c r="E158" s="11" t="s">
        <v>110</v>
      </c>
      <c r="F158" s="15">
        <v>65</v>
      </c>
      <c r="G158" s="22">
        <v>35</v>
      </c>
      <c r="I158" s="11" t="s">
        <v>450</v>
      </c>
      <c r="J158" s="11" t="s">
        <v>370</v>
      </c>
      <c r="L158" s="11">
        <f>INDEX(desa!A:A,MATCH(B158,desa!B:B,0))</f>
        <v>8</v>
      </c>
      <c r="M158" s="17" t="s">
        <v>460</v>
      </c>
      <c r="N158" s="11" t="str">
        <f t="shared" si="2"/>
        <v>('8;Sinar Bangka bella;Lanjut;Zainuddin;65;35;;Tanaman Pangan;Aktif;POKTAN'),</v>
      </c>
    </row>
    <row r="159" spans="1:14" s="11" customFormat="1" ht="20.5" customHeight="1">
      <c r="A159" s="15">
        <v>157</v>
      </c>
      <c r="B159" s="11" t="s">
        <v>328</v>
      </c>
      <c r="C159" s="11" t="s">
        <v>113</v>
      </c>
      <c r="D159" s="11" t="s">
        <v>333</v>
      </c>
      <c r="E159" s="11" t="s">
        <v>112</v>
      </c>
      <c r="F159" s="15">
        <v>32</v>
      </c>
      <c r="G159" s="22">
        <v>40</v>
      </c>
      <c r="I159" s="11" t="s">
        <v>450</v>
      </c>
      <c r="J159" s="11" t="s">
        <v>370</v>
      </c>
      <c r="L159" s="11">
        <f>INDEX(desa!A:A,MATCH(B159,desa!B:B,0))</f>
        <v>8</v>
      </c>
      <c r="M159" s="17" t="s">
        <v>460</v>
      </c>
      <c r="N159" s="11" t="str">
        <f t="shared" si="2"/>
        <v>('8;Sinar Maronge;Lanjut;Andi Azis;32;40;;Tanaman Pangan;Aktif;POKTAN'),</v>
      </c>
    </row>
    <row r="160" spans="1:14" s="11" customFormat="1" ht="20.5" customHeight="1">
      <c r="A160" s="15">
        <v>158</v>
      </c>
      <c r="B160" s="11" t="s">
        <v>328</v>
      </c>
      <c r="C160" s="11" t="s">
        <v>66</v>
      </c>
      <c r="D160" s="11" t="s">
        <v>333</v>
      </c>
      <c r="E160" s="11" t="s">
        <v>114</v>
      </c>
      <c r="F160" s="15">
        <v>35</v>
      </c>
      <c r="G160" s="22">
        <v>29</v>
      </c>
      <c r="I160" s="11" t="s">
        <v>450</v>
      </c>
      <c r="J160" s="11" t="s">
        <v>370</v>
      </c>
      <c r="L160" s="11">
        <f>INDEX(desa!A:A,MATCH(B160,desa!B:B,0))</f>
        <v>8</v>
      </c>
      <c r="M160" s="17" t="s">
        <v>460</v>
      </c>
      <c r="N160" s="11" t="str">
        <f t="shared" si="2"/>
        <v>('8;Angan No Putes;Lanjut;Jamratul;35;29;;Tanaman Pangan;Aktif;POKTAN'),</v>
      </c>
    </row>
    <row r="161" spans="1:14" s="11" customFormat="1" ht="20.5" customHeight="1">
      <c r="A161" s="15">
        <v>159</v>
      </c>
      <c r="B161" s="11" t="s">
        <v>328</v>
      </c>
      <c r="C161" s="11" t="s">
        <v>116</v>
      </c>
      <c r="D161" s="11" t="s">
        <v>333</v>
      </c>
      <c r="E161" s="11" t="s">
        <v>115</v>
      </c>
      <c r="F161" s="15">
        <v>42</v>
      </c>
      <c r="G161" s="22">
        <v>22</v>
      </c>
      <c r="I161" s="11" t="s">
        <v>450</v>
      </c>
      <c r="J161" s="11" t="s">
        <v>370</v>
      </c>
      <c r="L161" s="11">
        <f>INDEX(desa!A:A,MATCH(B161,desa!B:B,0))</f>
        <v>8</v>
      </c>
      <c r="M161" s="17" t="s">
        <v>460</v>
      </c>
      <c r="N161" s="11" t="str">
        <f t="shared" si="2"/>
        <v>('8;Pendi Aku;Lanjut;H. Abd. Hamid;42;22;;Tanaman Pangan;Aktif;POKTAN'),</v>
      </c>
    </row>
    <row r="162" spans="1:14" s="11" customFormat="1" ht="20.5" customHeight="1">
      <c r="A162" s="15">
        <v>160</v>
      </c>
      <c r="B162" s="11" t="s">
        <v>328</v>
      </c>
      <c r="C162" s="11" t="s">
        <v>117</v>
      </c>
      <c r="D162" s="11" t="s">
        <v>333</v>
      </c>
      <c r="E162" s="11" t="s">
        <v>427</v>
      </c>
      <c r="F162" s="15">
        <v>59</v>
      </c>
      <c r="G162" s="22">
        <v>34</v>
      </c>
      <c r="I162" s="11" t="s">
        <v>450</v>
      </c>
      <c r="J162" s="11" t="s">
        <v>370</v>
      </c>
      <c r="L162" s="11">
        <f>INDEX(desa!A:A,MATCH(B162,desa!B:B,0))</f>
        <v>8</v>
      </c>
      <c r="M162" s="17" t="s">
        <v>460</v>
      </c>
      <c r="N162" s="11" t="str">
        <f t="shared" si="2"/>
        <v>('8;Prayu Ate;Lanjut;Agus Salim;59;34;;Tanaman Pangan;Aktif;POKTAN'),</v>
      </c>
    </row>
    <row r="163" spans="1:14" s="11" customFormat="1" ht="20.5" customHeight="1">
      <c r="A163" s="15">
        <v>161</v>
      </c>
      <c r="B163" s="11" t="s">
        <v>328</v>
      </c>
      <c r="C163" s="11" t="s">
        <v>119</v>
      </c>
      <c r="D163" s="11" t="s">
        <v>333</v>
      </c>
      <c r="E163" s="11" t="s">
        <v>118</v>
      </c>
      <c r="F163" s="15">
        <v>41</v>
      </c>
      <c r="G163" s="22">
        <v>29</v>
      </c>
      <c r="I163" s="11" t="s">
        <v>450</v>
      </c>
      <c r="J163" s="11" t="s">
        <v>370</v>
      </c>
      <c r="L163" s="11">
        <f>INDEX(desa!A:A,MATCH(B163,desa!B:B,0))</f>
        <v>8</v>
      </c>
      <c r="M163" s="17" t="s">
        <v>460</v>
      </c>
      <c r="N163" s="11" t="str">
        <f t="shared" si="2"/>
        <v>('8;Cahaya Kapuri;Lanjut;A. Wahab;41;29;;Tanaman Pangan;Aktif;POKTAN'),</v>
      </c>
    </row>
    <row r="164" spans="1:14" s="11" customFormat="1" ht="20.5" customHeight="1">
      <c r="A164" s="15">
        <v>162</v>
      </c>
      <c r="B164" s="11" t="s">
        <v>328</v>
      </c>
      <c r="C164" s="11" t="s">
        <v>121</v>
      </c>
      <c r="D164" s="11" t="s">
        <v>333</v>
      </c>
      <c r="E164" s="11" t="s">
        <v>120</v>
      </c>
      <c r="F164" s="15">
        <v>34</v>
      </c>
      <c r="G164" s="22">
        <v>17</v>
      </c>
      <c r="I164" s="11" t="s">
        <v>450</v>
      </c>
      <c r="J164" s="11" t="s">
        <v>370</v>
      </c>
      <c r="L164" s="11">
        <f>INDEX(desa!A:A,MATCH(B164,desa!B:B,0))</f>
        <v>8</v>
      </c>
      <c r="M164" s="17" t="s">
        <v>460</v>
      </c>
      <c r="N164" s="11" t="str">
        <f t="shared" si="2"/>
        <v>('8;Satutu Leng;Lanjut;Samra;34;17;;Tanaman Pangan;Aktif;POKTAN'),</v>
      </c>
    </row>
    <row r="165" spans="1:14" s="11" customFormat="1" ht="20.5" customHeight="1">
      <c r="A165" s="15">
        <v>163</v>
      </c>
      <c r="B165" s="11" t="s">
        <v>328</v>
      </c>
      <c r="C165" s="11" t="s">
        <v>123</v>
      </c>
      <c r="D165" s="11" t="s">
        <v>333</v>
      </c>
      <c r="E165" s="11" t="s">
        <v>122</v>
      </c>
      <c r="F165" s="15">
        <v>66</v>
      </c>
      <c r="G165" s="22">
        <v>46</v>
      </c>
      <c r="I165" s="11" t="s">
        <v>450</v>
      </c>
      <c r="J165" s="11" t="s">
        <v>370</v>
      </c>
      <c r="L165" s="11">
        <f>INDEX(desa!A:A,MATCH(B165,desa!B:B,0))</f>
        <v>8</v>
      </c>
      <c r="M165" s="17" t="s">
        <v>460</v>
      </c>
      <c r="N165" s="11" t="str">
        <f t="shared" si="2"/>
        <v>('8;Kenangan;Lanjut;Saparuddin HB;66;46;;Tanaman Pangan;Aktif;POKTAN'),</v>
      </c>
    </row>
    <row r="166" spans="1:14" s="11" customFormat="1" ht="20.5" customHeight="1">
      <c r="A166" s="15">
        <v>164</v>
      </c>
      <c r="B166" s="11" t="s">
        <v>328</v>
      </c>
      <c r="C166" s="11" t="s">
        <v>125</v>
      </c>
      <c r="D166" s="11" t="s">
        <v>333</v>
      </c>
      <c r="E166" s="11" t="s">
        <v>124</v>
      </c>
      <c r="F166" s="15">
        <v>30</v>
      </c>
      <c r="G166" s="22">
        <v>19</v>
      </c>
      <c r="I166" s="11" t="s">
        <v>450</v>
      </c>
      <c r="J166" s="11" t="s">
        <v>370</v>
      </c>
      <c r="L166" s="11">
        <f>INDEX(desa!A:A,MATCH(B166,desa!B:B,0))</f>
        <v>8</v>
      </c>
      <c r="M166" s="17" t="s">
        <v>460</v>
      </c>
      <c r="N166" s="11" t="str">
        <f t="shared" si="2"/>
        <v>('8;Sinar Sridene;Lanjut;M. Tahir;30;19;;Tanaman Pangan;Aktif;POKTAN'),</v>
      </c>
    </row>
    <row r="167" spans="1:14" s="11" customFormat="1" ht="20.5" customHeight="1">
      <c r="A167" s="15">
        <v>165</v>
      </c>
      <c r="B167" s="11" t="s">
        <v>328</v>
      </c>
      <c r="C167" s="11" t="s">
        <v>127</v>
      </c>
      <c r="D167" s="11" t="s">
        <v>319</v>
      </c>
      <c r="E167" s="11" t="s">
        <v>126</v>
      </c>
      <c r="F167" s="15">
        <v>9</v>
      </c>
      <c r="G167" s="22"/>
      <c r="I167" s="11" t="s">
        <v>446</v>
      </c>
      <c r="J167" s="11" t="s">
        <v>378</v>
      </c>
      <c r="L167" s="11">
        <f>INDEX(desa!A:A,MATCH(B167,desa!B:B,0))</f>
        <v>8</v>
      </c>
      <c r="M167" s="17" t="s">
        <v>460</v>
      </c>
      <c r="N167" s="11" t="str">
        <f t="shared" si="2"/>
        <v>('8;Totang Rasa;Pemula;Siti Mina;9;;;Pengolahan Hasil Pertanian;Tidak Aktif;POKTAN'),</v>
      </c>
    </row>
    <row r="168" spans="1:14" s="11" customFormat="1" ht="20.5" customHeight="1">
      <c r="A168" s="15">
        <v>166</v>
      </c>
      <c r="B168" s="11" t="s">
        <v>328</v>
      </c>
      <c r="C168" s="11" t="s">
        <v>129</v>
      </c>
      <c r="D168" s="11" t="s">
        <v>333</v>
      </c>
      <c r="E168" s="11" t="s">
        <v>128</v>
      </c>
      <c r="F168" s="15">
        <v>75</v>
      </c>
      <c r="G168" s="22">
        <v>44</v>
      </c>
      <c r="I168" s="11" t="s">
        <v>450</v>
      </c>
      <c r="J168" s="11" t="s">
        <v>370</v>
      </c>
      <c r="L168" s="11">
        <f>INDEX(desa!A:A,MATCH(B168,desa!B:B,0))</f>
        <v>8</v>
      </c>
      <c r="M168" s="17" t="s">
        <v>460</v>
      </c>
      <c r="N168" s="11" t="str">
        <f t="shared" si="2"/>
        <v>('8;Ai;Lanjut;Saparuddin HA;75;44;;Tanaman Pangan;Aktif;POKTAN'),</v>
      </c>
    </row>
    <row r="169" spans="1:14" s="11" customFormat="1" ht="20.5" customHeight="1">
      <c r="A169" s="15">
        <v>167</v>
      </c>
      <c r="B169" s="11" t="s">
        <v>328</v>
      </c>
      <c r="C169" s="11" t="s">
        <v>426</v>
      </c>
      <c r="D169" s="11" t="s">
        <v>333</v>
      </c>
      <c r="E169" s="11" t="s">
        <v>170</v>
      </c>
      <c r="F169" s="15">
        <v>25</v>
      </c>
      <c r="G169" s="22">
        <v>13</v>
      </c>
      <c r="I169" s="11" t="s">
        <v>450</v>
      </c>
      <c r="J169" s="11" t="s">
        <v>370</v>
      </c>
      <c r="L169" s="11">
        <f>INDEX(desa!A:A,MATCH(B169,desa!B:B,0))</f>
        <v>8</v>
      </c>
      <c r="M169" s="17" t="s">
        <v>460</v>
      </c>
      <c r="N169" s="11" t="str">
        <f t="shared" si="2"/>
        <v>('8;Palabu Jabas II;Lanjut;Abdul Haris;25;13;;Tanaman Pangan;Aktif;POKTAN'),</v>
      </c>
    </row>
    <row r="170" spans="1:14" s="11" customFormat="1" ht="20.5" customHeight="1">
      <c r="A170" s="15">
        <v>168</v>
      </c>
      <c r="B170" s="11" t="s">
        <v>328</v>
      </c>
      <c r="C170" s="11" t="s">
        <v>172</v>
      </c>
      <c r="D170" s="11" t="s">
        <v>333</v>
      </c>
      <c r="E170" s="11" t="s">
        <v>171</v>
      </c>
      <c r="F170" s="15">
        <v>25</v>
      </c>
      <c r="G170" s="22">
        <v>13</v>
      </c>
      <c r="I170" s="11" t="s">
        <v>450</v>
      </c>
      <c r="J170" s="11" t="s">
        <v>370</v>
      </c>
      <c r="L170" s="11">
        <f>INDEX(desa!A:A,MATCH(B170,desa!B:B,0))</f>
        <v>8</v>
      </c>
      <c r="M170" s="17" t="s">
        <v>460</v>
      </c>
      <c r="N170" s="11" t="str">
        <f t="shared" si="2"/>
        <v>('8;Ai Batu Lebuk;Lanjut;Mansyur;25;13;;Tanaman Pangan;Aktif;POKTAN'),</v>
      </c>
    </row>
    <row r="171" spans="1:14" s="11" customFormat="1" ht="20.5" customHeight="1">
      <c r="A171" s="15">
        <v>169</v>
      </c>
      <c r="B171" s="11" t="s">
        <v>328</v>
      </c>
      <c r="C171" s="11" t="s">
        <v>174</v>
      </c>
      <c r="D171" s="11" t="s">
        <v>333</v>
      </c>
      <c r="E171" s="11" t="s">
        <v>428</v>
      </c>
      <c r="F171" s="15">
        <v>36</v>
      </c>
      <c r="G171" s="22">
        <v>23</v>
      </c>
      <c r="I171" s="11" t="s">
        <v>450</v>
      </c>
      <c r="J171" s="11" t="s">
        <v>370</v>
      </c>
      <c r="L171" s="11">
        <f>INDEX(desa!A:A,MATCH(B171,desa!B:B,0))</f>
        <v>8</v>
      </c>
      <c r="M171" s="17" t="s">
        <v>460</v>
      </c>
      <c r="N171" s="11" t="str">
        <f t="shared" si="2"/>
        <v>('8;Bukit Dilis;Lanjut;Abdul Wahab HS;36;23;;Tanaman Pangan;Aktif;POKTAN'),</v>
      </c>
    </row>
    <row r="172" spans="1:14" s="11" customFormat="1" ht="20.5" customHeight="1">
      <c r="A172" s="15">
        <v>170</v>
      </c>
      <c r="B172" s="11" t="s">
        <v>328</v>
      </c>
      <c r="C172" s="11" t="s">
        <v>176</v>
      </c>
      <c r="D172" s="11" t="s">
        <v>333</v>
      </c>
      <c r="E172" s="11" t="s">
        <v>175</v>
      </c>
      <c r="F172" s="15">
        <v>38</v>
      </c>
      <c r="G172" s="22">
        <v>22</v>
      </c>
      <c r="I172" s="11" t="s">
        <v>450</v>
      </c>
      <c r="J172" s="11" t="s">
        <v>370</v>
      </c>
      <c r="L172" s="11">
        <f>INDEX(desa!A:A,MATCH(B172,desa!B:B,0))</f>
        <v>8</v>
      </c>
      <c r="M172" s="17" t="s">
        <v>460</v>
      </c>
      <c r="N172" s="11" t="str">
        <f t="shared" si="2"/>
        <v>('8;Ai Sampeo;Lanjut;Doni Karsono;38;22;;Tanaman Pangan;Aktif;POKTAN'),</v>
      </c>
    </row>
    <row r="173" spans="1:14" s="11" customFormat="1" ht="20.5" customHeight="1">
      <c r="A173" s="15">
        <v>171</v>
      </c>
      <c r="B173" s="11" t="s">
        <v>328</v>
      </c>
      <c r="C173" s="11" t="s">
        <v>178</v>
      </c>
      <c r="D173" s="11" t="s">
        <v>333</v>
      </c>
      <c r="E173" s="11" t="s">
        <v>177</v>
      </c>
      <c r="F173" s="15">
        <v>22</v>
      </c>
      <c r="G173" s="22">
        <v>20</v>
      </c>
      <c r="I173" s="11" t="s">
        <v>450</v>
      </c>
      <c r="J173" s="11" t="s">
        <v>370</v>
      </c>
      <c r="L173" s="11">
        <f>INDEX(desa!A:A,MATCH(B173,desa!B:B,0))</f>
        <v>8</v>
      </c>
      <c r="M173" s="17" t="s">
        <v>460</v>
      </c>
      <c r="N173" s="11" t="str">
        <f t="shared" si="2"/>
        <v>('8;Lawang Saketeng;Lanjut;H.Saraf Seman;22;20;;Tanaman Pangan;Aktif;POKTAN'),</v>
      </c>
    </row>
    <row r="174" spans="1:14" s="11" customFormat="1" ht="20.5" customHeight="1">
      <c r="A174" s="15">
        <v>172</v>
      </c>
      <c r="B174" s="11" t="s">
        <v>328</v>
      </c>
      <c r="C174" s="11" t="s">
        <v>216</v>
      </c>
      <c r="D174" s="11" t="s">
        <v>333</v>
      </c>
      <c r="E174" s="11" t="s">
        <v>215</v>
      </c>
      <c r="F174" s="15">
        <v>34</v>
      </c>
      <c r="G174" s="22">
        <v>19</v>
      </c>
      <c r="I174" s="11" t="s">
        <v>450</v>
      </c>
      <c r="J174" s="11" t="s">
        <v>370</v>
      </c>
      <c r="L174" s="11">
        <f>INDEX(desa!A:A,MATCH(B174,desa!B:B,0))</f>
        <v>8</v>
      </c>
      <c r="M174" s="17" t="s">
        <v>460</v>
      </c>
      <c r="N174" s="11" t="str">
        <f t="shared" si="2"/>
        <v>('8;Tua Nanga Mandiri;Lanjut;Timur Yati;34;19;;Tanaman Pangan;Aktif;POKTAN'),</v>
      </c>
    </row>
    <row r="175" spans="1:14" s="11" customFormat="1" ht="20.5" customHeight="1">
      <c r="A175" s="15">
        <v>173</v>
      </c>
      <c r="B175" s="11" t="s">
        <v>328</v>
      </c>
      <c r="C175" s="11" t="s">
        <v>220</v>
      </c>
      <c r="D175" s="11" t="s">
        <v>333</v>
      </c>
      <c r="E175" s="11" t="s">
        <v>219</v>
      </c>
      <c r="F175" s="15">
        <v>25</v>
      </c>
      <c r="G175" s="22">
        <v>15</v>
      </c>
      <c r="I175" s="11" t="s">
        <v>450</v>
      </c>
      <c r="J175" s="11" t="s">
        <v>370</v>
      </c>
      <c r="L175" s="11">
        <f>INDEX(desa!A:A,MATCH(B175,desa!B:B,0))</f>
        <v>8</v>
      </c>
      <c r="M175" s="17" t="s">
        <v>460</v>
      </c>
      <c r="N175" s="11" t="str">
        <f t="shared" si="2"/>
        <v>('8;Boron Ngolont;Lanjut;Zakariah HS;25;15;;Tanaman Pangan;Aktif;POKTAN'),</v>
      </c>
    </row>
    <row r="176" spans="1:14" s="11" customFormat="1" ht="20.5" customHeight="1">
      <c r="A176" s="15">
        <v>174</v>
      </c>
      <c r="B176" s="11" t="s">
        <v>328</v>
      </c>
      <c r="C176" s="11" t="s">
        <v>222</v>
      </c>
      <c r="D176" s="11" t="s">
        <v>333</v>
      </c>
      <c r="E176" s="11" t="s">
        <v>221</v>
      </c>
      <c r="F176" s="15">
        <v>30</v>
      </c>
      <c r="G176" s="22">
        <v>20</v>
      </c>
      <c r="I176" s="11" t="s">
        <v>450</v>
      </c>
      <c r="J176" s="11" t="s">
        <v>370</v>
      </c>
      <c r="L176" s="11">
        <f>INDEX(desa!A:A,MATCH(B176,desa!B:B,0))</f>
        <v>8</v>
      </c>
      <c r="M176" s="17" t="s">
        <v>460</v>
      </c>
      <c r="N176" s="11" t="str">
        <f t="shared" si="2"/>
        <v>('8;Saling Sakiki;Lanjut;Rusdi;30;20;;Tanaman Pangan;Aktif;POKTAN'),</v>
      </c>
    </row>
    <row r="177" spans="1:14" s="11" customFormat="1" ht="20.5" customHeight="1">
      <c r="A177" s="15">
        <v>175</v>
      </c>
      <c r="B177" s="11" t="s">
        <v>328</v>
      </c>
      <c r="C177" s="11" t="s">
        <v>224</v>
      </c>
      <c r="D177" s="11" t="s">
        <v>333</v>
      </c>
      <c r="E177" s="11" t="s">
        <v>223</v>
      </c>
      <c r="F177" s="15">
        <v>26</v>
      </c>
      <c r="G177" s="22">
        <v>14</v>
      </c>
      <c r="I177" s="11" t="s">
        <v>450</v>
      </c>
      <c r="J177" s="11" t="s">
        <v>370</v>
      </c>
      <c r="L177" s="11">
        <f>INDEX(desa!A:A,MATCH(B177,desa!B:B,0))</f>
        <v>8</v>
      </c>
      <c r="M177" s="17" t="s">
        <v>460</v>
      </c>
      <c r="N177" s="11" t="str">
        <f t="shared" si="2"/>
        <v>('8;Buin Notis;Lanjut;Mahsus;26;14;;Tanaman Pangan;Aktif;POKTAN'),</v>
      </c>
    </row>
    <row r="178" spans="1:14" s="11" customFormat="1" ht="20.5" customHeight="1">
      <c r="A178" s="15">
        <v>176</v>
      </c>
      <c r="B178" s="11" t="s">
        <v>328</v>
      </c>
      <c r="C178" s="11" t="s">
        <v>476</v>
      </c>
      <c r="D178" s="11" t="s">
        <v>319</v>
      </c>
      <c r="E178" s="11" t="s">
        <v>303</v>
      </c>
      <c r="F178" s="15">
        <v>21</v>
      </c>
      <c r="G178" s="22"/>
      <c r="I178" s="11" t="s">
        <v>446</v>
      </c>
      <c r="J178" s="11" t="s">
        <v>378</v>
      </c>
      <c r="L178" s="11">
        <f>INDEX(desa!A:A,MATCH(B178,desa!B:B,0))</f>
        <v>8</v>
      </c>
      <c r="M178" s="17" t="s">
        <v>460</v>
      </c>
      <c r="N178" s="11" t="str">
        <f t="shared" si="2"/>
        <v>('8;KWT Dikenang;Pemula;Subaeda;21;;;Pengolahan Hasil Pertanian;Tidak Aktif;POKTAN'),</v>
      </c>
    </row>
    <row r="179" spans="1:14" s="11" customFormat="1" ht="20.5" customHeight="1">
      <c r="A179" s="15">
        <v>177</v>
      </c>
      <c r="B179" s="11" t="s">
        <v>328</v>
      </c>
      <c r="C179" s="11" t="s">
        <v>477</v>
      </c>
      <c r="D179" s="11" t="s">
        <v>319</v>
      </c>
      <c r="E179" s="11" t="s">
        <v>302</v>
      </c>
      <c r="F179" s="15">
        <v>7</v>
      </c>
      <c r="G179" s="22"/>
      <c r="H179" s="21"/>
      <c r="I179" s="11" t="s">
        <v>423</v>
      </c>
      <c r="J179" s="11" t="s">
        <v>378</v>
      </c>
      <c r="L179" s="11">
        <f>INDEX(desa!A:A,MATCH(B179,desa!B:B,0))</f>
        <v>8</v>
      </c>
      <c r="M179" s="17" t="s">
        <v>460</v>
      </c>
      <c r="N179" s="11" t="str">
        <f t="shared" si="2"/>
        <v>('8;Bangka Bela;Pemula;Majid Hemad;7;;;Ternak;Tidak Aktif;POKTAN'),</v>
      </c>
    </row>
    <row r="180" spans="1:14" s="11" customFormat="1" ht="20.5" customHeight="1">
      <c r="A180" s="15">
        <v>178</v>
      </c>
      <c r="B180" s="11" t="s">
        <v>328</v>
      </c>
      <c r="C180" s="11" t="s">
        <v>287</v>
      </c>
      <c r="D180" s="11" t="s">
        <v>333</v>
      </c>
      <c r="E180" s="11" t="s">
        <v>286</v>
      </c>
      <c r="F180" s="15">
        <v>22</v>
      </c>
      <c r="G180" s="22">
        <v>17</v>
      </c>
      <c r="I180" s="11" t="s">
        <v>450</v>
      </c>
      <c r="J180" s="11" t="s">
        <v>370</v>
      </c>
      <c r="L180" s="11">
        <f>INDEX(desa!A:A,MATCH(B180,desa!B:B,0))</f>
        <v>8</v>
      </c>
      <c r="M180" s="17" t="s">
        <v>460</v>
      </c>
      <c r="N180" s="11" t="str">
        <f t="shared" si="2"/>
        <v>('8;Tua Galumpang;Lanjut;Hamza;22;17;;Tanaman Pangan;Aktif;POKTAN'),</v>
      </c>
    </row>
    <row r="181" spans="1:14" s="11" customFormat="1" ht="20.5" customHeight="1">
      <c r="A181" s="15"/>
      <c r="F181" s="15"/>
      <c r="G181" s="23"/>
      <c r="N181" s="11" t="e">
        <f t="shared" ref="N132:N189" si="3">CONCATENATE("('",L181,",",TRIM(LEFT(C181,FIND("  ",C181)-1)),",",D181,",",E181,",",F181,",",G181,",",H181,",",I181,",",J181,",",M181,"'),")</f>
        <v>#VALUE!</v>
      </c>
    </row>
    <row r="182" spans="1:14" s="6" customFormat="1" ht="20" customHeight="1">
      <c r="A182" s="34" t="s">
        <v>311</v>
      </c>
      <c r="B182" s="34"/>
      <c r="C182" s="34"/>
      <c r="D182" s="34"/>
      <c r="E182" s="34"/>
      <c r="F182" s="34"/>
      <c r="G182" s="34"/>
      <c r="N182" s="11" t="e">
        <f t="shared" si="3"/>
        <v>#VALUE!</v>
      </c>
    </row>
    <row r="183" spans="1:14" s="17" customFormat="1" ht="73.5" customHeight="1">
      <c r="A183" s="31" t="s">
        <v>314</v>
      </c>
      <c r="B183" s="31"/>
      <c r="C183" s="31"/>
      <c r="D183" s="31"/>
      <c r="E183" s="31"/>
      <c r="F183" s="31"/>
      <c r="G183" s="31"/>
      <c r="H183" s="19"/>
      <c r="N183" s="11" t="e">
        <f t="shared" si="3"/>
        <v>#VALUE!</v>
      </c>
    </row>
    <row r="184" spans="1:14" s="17" customFormat="1" ht="77.5" customHeight="1">
      <c r="A184" s="31" t="s">
        <v>316</v>
      </c>
      <c r="B184" s="31"/>
      <c r="C184" s="31"/>
      <c r="D184" s="31"/>
      <c r="E184" s="31"/>
      <c r="F184" s="31"/>
      <c r="G184" s="31"/>
      <c r="H184" s="19"/>
      <c r="N184" s="11" t="e">
        <f t="shared" si="3"/>
        <v>#VALUE!</v>
      </c>
    </row>
    <row r="185" spans="1:14" s="17" customFormat="1" ht="34.5" customHeight="1">
      <c r="A185" s="31" t="s">
        <v>313</v>
      </c>
      <c r="B185" s="31"/>
      <c r="C185" s="31"/>
      <c r="D185" s="31"/>
      <c r="E185" s="31"/>
      <c r="F185" s="31"/>
      <c r="G185" s="31"/>
      <c r="H185" s="19"/>
      <c r="N185" s="11" t="e">
        <f t="shared" si="3"/>
        <v>#VALUE!</v>
      </c>
    </row>
    <row r="186" spans="1:14" s="11" customFormat="1" ht="20.5" customHeight="1">
      <c r="A186" s="15"/>
      <c r="F186" s="15"/>
      <c r="G186" s="23"/>
      <c r="N186" s="11" t="e">
        <f t="shared" si="3"/>
        <v>#VALUE!</v>
      </c>
    </row>
    <row r="187" spans="1:14" s="11" customFormat="1" ht="20.5" customHeight="1">
      <c r="A187" s="15"/>
      <c r="F187" s="15"/>
      <c r="G187" s="23"/>
      <c r="N187" s="11" t="e">
        <f t="shared" si="3"/>
        <v>#VALUE!</v>
      </c>
    </row>
    <row r="188" spans="1:14" s="11" customFormat="1" ht="20.5" customHeight="1">
      <c r="A188" s="15"/>
      <c r="F188" s="15"/>
      <c r="G188" s="23"/>
      <c r="N188" s="11" t="e">
        <f t="shared" si="3"/>
        <v>#VALUE!</v>
      </c>
    </row>
    <row r="189" spans="1:14" s="11" customFormat="1" ht="20.5" customHeight="1">
      <c r="A189" s="15"/>
      <c r="F189" s="15"/>
      <c r="G189" s="23"/>
      <c r="N189" s="11" t="e">
        <f t="shared" si="3"/>
        <v>#VALUE!</v>
      </c>
    </row>
    <row r="190" spans="1:14" s="11" customFormat="1" ht="20.5" customHeight="1">
      <c r="A190" s="15"/>
      <c r="F190" s="15"/>
      <c r="G190" s="23"/>
      <c r="N190" s="11" t="str">
        <f t="shared" ref="N139:N202" si="4">CONCATENATE("('",L190,",",C190,",",D190,",",E190,",",F190,",",G190,",",H190,",",I190,",",J190,",",M190,"'),")</f>
        <v>(',,,,,,,,,'),</v>
      </c>
    </row>
    <row r="191" spans="1:14" s="11" customFormat="1" ht="20.5" customHeight="1">
      <c r="A191" s="15"/>
      <c r="F191" s="15"/>
      <c r="G191" s="23"/>
      <c r="N191" s="11" t="str">
        <f t="shared" si="4"/>
        <v>(',,,,,,,,,'),</v>
      </c>
    </row>
    <row r="192" spans="1:14" s="11" customFormat="1" ht="20.5" customHeight="1">
      <c r="A192" s="15"/>
      <c r="F192" s="15"/>
      <c r="G192" s="23"/>
      <c r="N192" s="11" t="str">
        <f t="shared" si="4"/>
        <v>(',,,,,,,,,'),</v>
      </c>
    </row>
    <row r="193" spans="1:14" s="11" customFormat="1" ht="20.5" customHeight="1">
      <c r="A193" s="15"/>
      <c r="F193" s="15"/>
      <c r="G193" s="23"/>
      <c r="N193" s="11" t="str">
        <f t="shared" si="4"/>
        <v>(',,,,,,,,,'),</v>
      </c>
    </row>
    <row r="194" spans="1:14" s="11" customFormat="1" ht="20.5" customHeight="1">
      <c r="A194" s="15"/>
      <c r="F194" s="15"/>
      <c r="G194" s="23"/>
      <c r="N194" s="11" t="str">
        <f t="shared" si="4"/>
        <v>(',,,,,,,,,'),</v>
      </c>
    </row>
    <row r="195" spans="1:14" s="11" customFormat="1" ht="20.5" customHeight="1">
      <c r="A195" s="15"/>
      <c r="F195" s="15"/>
      <c r="G195" s="23"/>
      <c r="N195" s="11" t="str">
        <f t="shared" si="4"/>
        <v>(',,,,,,,,,'),</v>
      </c>
    </row>
    <row r="196" spans="1:14" s="11" customFormat="1" ht="20.5" customHeight="1">
      <c r="A196" s="15"/>
      <c r="F196" s="15"/>
      <c r="G196" s="23"/>
      <c r="N196" s="11" t="str">
        <f t="shared" si="4"/>
        <v>(',,,,,,,,,'),</v>
      </c>
    </row>
    <row r="197" spans="1:14" s="11" customFormat="1" ht="20.5" customHeight="1">
      <c r="A197" s="15"/>
      <c r="F197" s="15"/>
      <c r="G197" s="23"/>
      <c r="N197" s="11" t="str">
        <f t="shared" si="4"/>
        <v>(',,,,,,,,,'),</v>
      </c>
    </row>
    <row r="198" spans="1:14" s="11" customFormat="1" ht="20.5" customHeight="1">
      <c r="A198" s="15"/>
      <c r="F198" s="15"/>
      <c r="G198" s="23"/>
      <c r="N198" s="11" t="str">
        <f t="shared" si="4"/>
        <v>(',,,,,,,,,'),</v>
      </c>
    </row>
    <row r="199" spans="1:14" s="11" customFormat="1" ht="20.5" customHeight="1">
      <c r="A199" s="15"/>
      <c r="F199" s="15"/>
      <c r="G199" s="23"/>
      <c r="N199" s="11" t="str">
        <f t="shared" si="4"/>
        <v>(',,,,,,,,,'),</v>
      </c>
    </row>
    <row r="200" spans="1:14" s="11" customFormat="1" ht="20.5" customHeight="1">
      <c r="A200" s="15"/>
      <c r="F200" s="15"/>
      <c r="G200" s="23"/>
      <c r="N200" s="11" t="str">
        <f t="shared" si="4"/>
        <v>(',,,,,,,,,'),</v>
      </c>
    </row>
    <row r="201" spans="1:14" s="11" customFormat="1" ht="20.5" customHeight="1">
      <c r="A201" s="15"/>
      <c r="F201" s="15"/>
      <c r="G201" s="23"/>
      <c r="N201" s="11" t="str">
        <f t="shared" si="4"/>
        <v>(',,,,,,,,,'),</v>
      </c>
    </row>
    <row r="202" spans="1:14" s="11" customFormat="1" ht="20.5" customHeight="1">
      <c r="A202" s="15"/>
      <c r="F202" s="15"/>
      <c r="G202" s="23"/>
      <c r="N202" s="11" t="str">
        <f t="shared" si="4"/>
        <v>(',,,,,,,,,'),</v>
      </c>
    </row>
    <row r="203" spans="1:14" s="11" customFormat="1" ht="20.5" customHeight="1">
      <c r="A203" s="15"/>
      <c r="F203" s="15"/>
      <c r="G203" s="23"/>
      <c r="N203" s="11" t="str">
        <f t="shared" ref="N203:N231" si="5">CONCATENATE("('",L203,",",C203,",",D203,",",E203,",",F203,",",G203,",",H203,",",I203,",",J203,",",M203,"'),")</f>
        <v>(',,,,,,,,,'),</v>
      </c>
    </row>
    <row r="204" spans="1:14" s="11" customFormat="1" ht="20.5" customHeight="1">
      <c r="A204" s="15"/>
      <c r="F204" s="15"/>
      <c r="G204" s="23"/>
      <c r="N204" s="11" t="str">
        <f t="shared" si="5"/>
        <v>(',,,,,,,,,'),</v>
      </c>
    </row>
    <row r="205" spans="1:14" s="11" customFormat="1" ht="20.5" customHeight="1">
      <c r="A205" s="15"/>
      <c r="F205" s="15"/>
      <c r="G205" s="23"/>
      <c r="N205" s="11" t="str">
        <f t="shared" si="5"/>
        <v>(',,,,,,,,,'),</v>
      </c>
    </row>
    <row r="206" spans="1:14" s="11" customFormat="1" ht="20.5" customHeight="1">
      <c r="A206" s="15"/>
      <c r="F206" s="15"/>
      <c r="G206" s="23"/>
      <c r="N206" s="11" t="str">
        <f t="shared" si="5"/>
        <v>(',,,,,,,,,'),</v>
      </c>
    </row>
    <row r="207" spans="1:14" s="11" customFormat="1" ht="20.5" customHeight="1">
      <c r="A207" s="15"/>
      <c r="F207" s="15"/>
      <c r="G207" s="23"/>
      <c r="N207" s="11" t="str">
        <f t="shared" si="5"/>
        <v>(',,,,,,,,,'),</v>
      </c>
    </row>
    <row r="208" spans="1:14" s="11" customFormat="1" ht="20.5" customHeight="1">
      <c r="A208" s="15"/>
      <c r="F208" s="15"/>
      <c r="G208" s="23"/>
      <c r="N208" s="11" t="str">
        <f t="shared" si="5"/>
        <v>(',,,,,,,,,'),</v>
      </c>
    </row>
    <row r="209" spans="1:14" s="11" customFormat="1" ht="20.5" customHeight="1">
      <c r="A209" s="15"/>
      <c r="F209" s="15"/>
      <c r="G209" s="23"/>
      <c r="N209" s="11" t="str">
        <f t="shared" si="5"/>
        <v>(',,,,,,,,,'),</v>
      </c>
    </row>
    <row r="210" spans="1:14" s="11" customFormat="1" ht="20.5" customHeight="1">
      <c r="A210" s="15"/>
      <c r="F210" s="15"/>
      <c r="G210" s="23"/>
      <c r="N210" s="11" t="str">
        <f t="shared" si="5"/>
        <v>(',,,,,,,,,'),</v>
      </c>
    </row>
    <row r="211" spans="1:14" s="11" customFormat="1" ht="20.5" customHeight="1">
      <c r="A211" s="15"/>
      <c r="F211" s="15"/>
      <c r="G211" s="23"/>
      <c r="N211" s="11" t="str">
        <f t="shared" si="5"/>
        <v>(',,,,,,,,,'),</v>
      </c>
    </row>
    <row r="212" spans="1:14" s="11" customFormat="1" ht="20.5" customHeight="1">
      <c r="A212" s="15"/>
      <c r="F212" s="15"/>
      <c r="G212" s="23"/>
      <c r="N212" s="11" t="str">
        <f t="shared" si="5"/>
        <v>(',,,,,,,,,'),</v>
      </c>
    </row>
    <row r="213" spans="1:14" s="11" customFormat="1" ht="20.5" customHeight="1">
      <c r="A213" s="15"/>
      <c r="F213" s="15"/>
      <c r="G213" s="23"/>
      <c r="N213" s="11" t="str">
        <f t="shared" si="5"/>
        <v>(',,,,,,,,,'),</v>
      </c>
    </row>
    <row r="214" spans="1:14" s="11" customFormat="1" ht="20.5" customHeight="1">
      <c r="A214" s="15"/>
      <c r="F214" s="15"/>
      <c r="G214" s="23"/>
      <c r="N214" s="11" t="str">
        <f t="shared" si="5"/>
        <v>(',,,,,,,,,'),</v>
      </c>
    </row>
    <row r="215" spans="1:14" s="11" customFormat="1" ht="20.5" customHeight="1">
      <c r="A215" s="15"/>
      <c r="F215" s="15"/>
      <c r="G215" s="23"/>
      <c r="N215" s="11" t="str">
        <f t="shared" si="5"/>
        <v>(',,,,,,,,,'),</v>
      </c>
    </row>
    <row r="216" spans="1:14" s="11" customFormat="1" ht="20.5" customHeight="1">
      <c r="A216" s="15"/>
      <c r="F216" s="15"/>
      <c r="G216" s="23"/>
      <c r="N216" s="11" t="str">
        <f t="shared" si="5"/>
        <v>(',,,,,,,,,'),</v>
      </c>
    </row>
    <row r="217" spans="1:14" s="11" customFormat="1" ht="20.5" customHeight="1">
      <c r="A217" s="15"/>
      <c r="F217" s="15"/>
      <c r="G217" s="23"/>
      <c r="N217" s="11" t="str">
        <f t="shared" si="5"/>
        <v>(',,,,,,,,,'),</v>
      </c>
    </row>
    <row r="218" spans="1:14" s="11" customFormat="1" ht="20.5" customHeight="1">
      <c r="A218" s="15"/>
      <c r="F218" s="15"/>
      <c r="G218" s="23"/>
      <c r="N218" s="11" t="str">
        <f t="shared" si="5"/>
        <v>(',,,,,,,,,'),</v>
      </c>
    </row>
    <row r="219" spans="1:14" s="11" customFormat="1" ht="20.5" customHeight="1">
      <c r="A219" s="15"/>
      <c r="F219" s="15"/>
      <c r="G219" s="23"/>
      <c r="N219" s="11" t="str">
        <f t="shared" si="5"/>
        <v>(',,,,,,,,,'),</v>
      </c>
    </row>
    <row r="220" spans="1:14" s="11" customFormat="1" ht="20.5" customHeight="1">
      <c r="A220" s="15"/>
      <c r="F220" s="15"/>
      <c r="G220" s="23"/>
      <c r="N220" s="11" t="str">
        <f t="shared" si="5"/>
        <v>(',,,,,,,,,'),</v>
      </c>
    </row>
    <row r="221" spans="1:14" s="11" customFormat="1" ht="20.5" customHeight="1">
      <c r="A221" s="15"/>
      <c r="F221" s="15"/>
      <c r="G221" s="23"/>
      <c r="N221" s="11" t="str">
        <f t="shared" si="5"/>
        <v>(',,,,,,,,,'),</v>
      </c>
    </row>
    <row r="222" spans="1:14" s="11" customFormat="1" ht="20.5" customHeight="1">
      <c r="A222" s="15"/>
      <c r="F222" s="15"/>
      <c r="G222" s="23"/>
      <c r="N222" s="11" t="str">
        <f t="shared" si="5"/>
        <v>(',,,,,,,,,'),</v>
      </c>
    </row>
    <row r="223" spans="1:14" s="11" customFormat="1" ht="20.5" customHeight="1">
      <c r="A223" s="15"/>
      <c r="F223" s="15"/>
      <c r="G223" s="23"/>
      <c r="N223" s="11" t="str">
        <f t="shared" si="5"/>
        <v>(',,,,,,,,,'),</v>
      </c>
    </row>
    <row r="224" spans="1:14" s="11" customFormat="1" ht="20.5" customHeight="1">
      <c r="A224" s="15"/>
      <c r="F224" s="15"/>
      <c r="G224" s="23"/>
      <c r="N224" s="11" t="str">
        <f t="shared" si="5"/>
        <v>(',,,,,,,,,'),</v>
      </c>
    </row>
    <row r="225" spans="1:14" s="11" customFormat="1" ht="20.5" customHeight="1">
      <c r="A225" s="15"/>
      <c r="F225" s="15"/>
      <c r="G225" s="23"/>
      <c r="N225" s="11" t="str">
        <f t="shared" si="5"/>
        <v>(',,,,,,,,,'),</v>
      </c>
    </row>
    <row r="226" spans="1:14" s="11" customFormat="1" ht="20.5" customHeight="1">
      <c r="A226" s="15"/>
      <c r="F226" s="15"/>
      <c r="G226" s="23"/>
      <c r="N226" s="11" t="str">
        <f t="shared" si="5"/>
        <v>(',,,,,,,,,'),</v>
      </c>
    </row>
    <row r="227" spans="1:14" s="11" customFormat="1" ht="20.5" customHeight="1">
      <c r="A227" s="15"/>
      <c r="F227" s="15"/>
      <c r="G227" s="23"/>
      <c r="N227" s="11" t="str">
        <f t="shared" si="5"/>
        <v>(',,,,,,,,,'),</v>
      </c>
    </row>
    <row r="228" spans="1:14" s="11" customFormat="1" ht="20.5" customHeight="1">
      <c r="A228" s="15"/>
      <c r="F228" s="15"/>
      <c r="G228" s="23"/>
      <c r="N228" s="11" t="str">
        <f t="shared" si="5"/>
        <v>(',,,,,,,,,'),</v>
      </c>
    </row>
    <row r="229" spans="1:14" s="11" customFormat="1" ht="20.5" customHeight="1">
      <c r="A229" s="15"/>
      <c r="F229" s="15"/>
      <c r="G229" s="23"/>
      <c r="N229" s="11" t="str">
        <f t="shared" si="5"/>
        <v>(',,,,,,,,,'),</v>
      </c>
    </row>
    <row r="230" spans="1:14" s="11" customFormat="1" ht="20.5" customHeight="1">
      <c r="A230" s="15"/>
      <c r="F230" s="15"/>
      <c r="G230" s="23"/>
      <c r="N230" s="11" t="str">
        <f t="shared" si="5"/>
        <v>(',,,,,,,,,'),</v>
      </c>
    </row>
    <row r="231" spans="1:14" s="11" customFormat="1" ht="20.5" customHeight="1">
      <c r="A231" s="15"/>
      <c r="F231" s="15"/>
      <c r="G231" s="23"/>
      <c r="N231" s="11" t="str">
        <f t="shared" si="5"/>
        <v>(',,,,,,,,,'),</v>
      </c>
    </row>
    <row r="232" spans="1:14" s="11" customFormat="1" ht="20.5" customHeight="1">
      <c r="A232" s="15"/>
      <c r="F232" s="15"/>
      <c r="G232" s="23"/>
    </row>
    <row r="233" spans="1:14" s="11" customFormat="1" ht="20.5" customHeight="1">
      <c r="A233" s="15"/>
      <c r="F233" s="15"/>
      <c r="G233" s="23"/>
    </row>
    <row r="234" spans="1:14" s="11" customFormat="1" ht="20.5" customHeight="1">
      <c r="A234" s="15"/>
      <c r="F234" s="15"/>
      <c r="G234" s="23"/>
    </row>
    <row r="235" spans="1:14" s="11" customFormat="1" ht="20.5" customHeight="1">
      <c r="A235" s="15"/>
      <c r="F235" s="15"/>
      <c r="G235" s="23"/>
    </row>
    <row r="236" spans="1:14" s="11" customFormat="1" ht="20.5" customHeight="1">
      <c r="A236" s="15"/>
      <c r="F236" s="15"/>
      <c r="G236" s="23"/>
    </row>
    <row r="237" spans="1:14" s="11" customFormat="1" ht="20.5" customHeight="1">
      <c r="A237" s="15"/>
      <c r="F237" s="15"/>
      <c r="G237" s="23"/>
    </row>
    <row r="238" spans="1:14" s="11" customFormat="1" ht="20.5" customHeight="1">
      <c r="A238" s="15"/>
      <c r="F238" s="15"/>
      <c r="G238" s="23"/>
    </row>
    <row r="239" spans="1:14" s="11" customFormat="1" ht="20.5" customHeight="1">
      <c r="A239" s="15"/>
      <c r="F239" s="15"/>
      <c r="G239" s="23"/>
    </row>
    <row r="240" spans="1:14" s="11" customFormat="1" ht="20.5" customHeight="1">
      <c r="A240" s="15"/>
      <c r="F240" s="15"/>
      <c r="G240" s="23"/>
    </row>
    <row r="241" spans="1:7" s="11" customFormat="1" ht="20.5" customHeight="1">
      <c r="A241" s="15"/>
      <c r="F241" s="15"/>
      <c r="G241" s="23"/>
    </row>
    <row r="242" spans="1:7" s="11" customFormat="1" ht="20.5" customHeight="1">
      <c r="A242" s="15"/>
      <c r="F242" s="15"/>
      <c r="G242" s="23"/>
    </row>
    <row r="243" spans="1:7" s="11" customFormat="1" ht="20.5" customHeight="1">
      <c r="A243" s="15"/>
      <c r="F243" s="15"/>
      <c r="G243" s="23"/>
    </row>
    <row r="244" spans="1:7" s="11" customFormat="1" ht="20.5" customHeight="1">
      <c r="A244" s="15"/>
      <c r="F244" s="15"/>
      <c r="G244" s="23"/>
    </row>
    <row r="245" spans="1:7" s="11" customFormat="1" ht="20.5" customHeight="1">
      <c r="A245" s="15"/>
      <c r="F245" s="15"/>
      <c r="G245" s="23"/>
    </row>
    <row r="246" spans="1:7" s="11" customFormat="1" ht="20.5" customHeight="1">
      <c r="A246" s="15"/>
      <c r="F246" s="15"/>
      <c r="G246" s="23"/>
    </row>
    <row r="247" spans="1:7" s="11" customFormat="1" ht="20.5" customHeight="1">
      <c r="A247" s="15"/>
      <c r="F247" s="15"/>
      <c r="G247" s="23"/>
    </row>
    <row r="248" spans="1:7" s="11" customFormat="1" ht="20.5" customHeight="1">
      <c r="A248" s="15"/>
      <c r="F248" s="15"/>
      <c r="G248" s="23"/>
    </row>
    <row r="249" spans="1:7" s="11" customFormat="1" ht="20.5" customHeight="1">
      <c r="A249" s="15"/>
      <c r="F249" s="15"/>
      <c r="G249" s="23"/>
    </row>
    <row r="250" spans="1:7" s="11" customFormat="1" ht="20.5" customHeight="1">
      <c r="A250" s="15"/>
      <c r="F250" s="15"/>
      <c r="G250" s="23"/>
    </row>
    <row r="251" spans="1:7" s="11" customFormat="1" ht="20.5" customHeight="1">
      <c r="A251" s="15"/>
      <c r="F251" s="15"/>
      <c r="G251" s="23"/>
    </row>
    <row r="252" spans="1:7" s="11" customFormat="1" ht="20.5" customHeight="1">
      <c r="A252" s="15"/>
      <c r="F252" s="15"/>
      <c r="G252" s="23"/>
    </row>
    <row r="253" spans="1:7" s="11" customFormat="1" ht="20.5" customHeight="1">
      <c r="A253" s="15"/>
      <c r="F253" s="15"/>
      <c r="G253" s="23"/>
    </row>
    <row r="254" spans="1:7" s="11" customFormat="1" ht="20.5" customHeight="1">
      <c r="A254" s="15"/>
      <c r="F254" s="15"/>
      <c r="G254" s="23"/>
    </row>
    <row r="255" spans="1:7" s="11" customFormat="1" ht="20.5" customHeight="1">
      <c r="A255" s="15"/>
      <c r="F255" s="15"/>
      <c r="G255" s="23"/>
    </row>
    <row r="256" spans="1:7" s="11" customFormat="1" ht="20.5" customHeight="1">
      <c r="A256" s="15"/>
      <c r="F256" s="15"/>
      <c r="G256" s="23"/>
    </row>
    <row r="257" spans="1:7" s="11" customFormat="1" ht="20.5" customHeight="1">
      <c r="A257" s="15"/>
      <c r="F257" s="15"/>
      <c r="G257" s="23"/>
    </row>
    <row r="258" spans="1:7" s="11" customFormat="1" ht="20.5" customHeight="1">
      <c r="A258" s="15"/>
      <c r="F258" s="15"/>
      <c r="G258" s="23"/>
    </row>
    <row r="259" spans="1:7" s="11" customFormat="1" ht="20.5" customHeight="1">
      <c r="A259" s="15"/>
      <c r="F259" s="15"/>
      <c r="G259" s="23"/>
    </row>
    <row r="260" spans="1:7" s="11" customFormat="1" ht="20.5" customHeight="1">
      <c r="A260" s="15"/>
      <c r="F260" s="15"/>
      <c r="G260" s="23"/>
    </row>
    <row r="261" spans="1:7" s="11" customFormat="1" ht="20.5" customHeight="1">
      <c r="A261" s="15"/>
      <c r="F261" s="15"/>
      <c r="G261" s="23"/>
    </row>
    <row r="262" spans="1:7" s="11" customFormat="1" ht="20.5" customHeight="1">
      <c r="A262" s="15"/>
      <c r="F262" s="15"/>
      <c r="G262" s="23"/>
    </row>
    <row r="263" spans="1:7" s="11" customFormat="1" ht="20.5" customHeight="1">
      <c r="A263" s="15"/>
      <c r="F263" s="15"/>
      <c r="G263" s="23"/>
    </row>
    <row r="264" spans="1:7" s="11" customFormat="1" ht="20.5" customHeight="1">
      <c r="A264" s="15"/>
      <c r="F264" s="15"/>
      <c r="G264" s="23"/>
    </row>
    <row r="265" spans="1:7" s="11" customFormat="1" ht="20.5" customHeight="1">
      <c r="A265" s="15"/>
      <c r="F265" s="15"/>
      <c r="G265" s="23"/>
    </row>
    <row r="266" spans="1:7" s="11" customFormat="1" ht="20.5" customHeight="1">
      <c r="A266" s="15"/>
      <c r="F266" s="15"/>
      <c r="G266" s="23"/>
    </row>
    <row r="267" spans="1:7" s="11" customFormat="1" ht="20.5" customHeight="1">
      <c r="A267" s="15"/>
      <c r="F267" s="15"/>
      <c r="G267" s="23"/>
    </row>
    <row r="268" spans="1:7" s="11" customFormat="1" ht="20.5" customHeight="1">
      <c r="A268" s="15"/>
      <c r="F268" s="15"/>
      <c r="G268" s="23"/>
    </row>
    <row r="269" spans="1:7" s="11" customFormat="1" ht="20.5" customHeight="1">
      <c r="A269" s="15"/>
      <c r="F269" s="15"/>
      <c r="G269" s="23"/>
    </row>
    <row r="270" spans="1:7" s="11" customFormat="1" ht="20.5" customHeight="1">
      <c r="A270" s="15"/>
      <c r="F270" s="15"/>
      <c r="G270" s="23"/>
    </row>
    <row r="271" spans="1:7" s="11" customFormat="1" ht="20.5" customHeight="1">
      <c r="A271" s="15"/>
      <c r="F271" s="15"/>
      <c r="G271" s="23"/>
    </row>
    <row r="272" spans="1:7" s="11" customFormat="1" ht="20.5" customHeight="1">
      <c r="A272" s="15"/>
      <c r="F272" s="15"/>
      <c r="G272" s="23"/>
    </row>
    <row r="273" spans="1:7" s="11" customFormat="1" ht="20.5" customHeight="1">
      <c r="A273" s="15"/>
      <c r="F273" s="15"/>
      <c r="G273" s="23"/>
    </row>
    <row r="274" spans="1:7" s="11" customFormat="1" ht="20.5" customHeight="1">
      <c r="A274" s="15"/>
      <c r="F274" s="15"/>
      <c r="G274" s="23"/>
    </row>
    <row r="275" spans="1:7" s="11" customFormat="1" ht="20.5" customHeight="1">
      <c r="A275" s="15"/>
      <c r="F275" s="15"/>
      <c r="G275" s="23"/>
    </row>
    <row r="276" spans="1:7" s="11" customFormat="1" ht="20.5" customHeight="1">
      <c r="A276" s="15"/>
      <c r="F276" s="15"/>
      <c r="G276" s="23"/>
    </row>
    <row r="277" spans="1:7" s="11" customFormat="1" ht="20.5" customHeight="1">
      <c r="A277" s="15"/>
      <c r="F277" s="15"/>
      <c r="G277" s="23"/>
    </row>
    <row r="278" spans="1:7" s="11" customFormat="1" ht="20.5" customHeight="1">
      <c r="A278" s="15"/>
      <c r="F278" s="15"/>
      <c r="G278" s="23"/>
    </row>
    <row r="279" spans="1:7" s="11" customFormat="1" ht="20.5" customHeight="1">
      <c r="A279" s="15"/>
      <c r="F279" s="15"/>
      <c r="G279" s="23"/>
    </row>
    <row r="280" spans="1:7" s="11" customFormat="1" ht="20.5" customHeight="1">
      <c r="A280" s="15"/>
      <c r="F280" s="15"/>
      <c r="G280" s="23"/>
    </row>
    <row r="281" spans="1:7" s="11" customFormat="1" ht="20.5" customHeight="1">
      <c r="A281" s="15"/>
      <c r="F281" s="15"/>
      <c r="G281" s="23"/>
    </row>
    <row r="282" spans="1:7" s="11" customFormat="1" ht="20.5" customHeight="1">
      <c r="A282" s="15"/>
      <c r="F282" s="15"/>
      <c r="G282" s="23"/>
    </row>
    <row r="283" spans="1:7" s="11" customFormat="1" ht="20.5" customHeight="1">
      <c r="A283" s="15"/>
      <c r="F283" s="15"/>
      <c r="G283" s="23"/>
    </row>
    <row r="284" spans="1:7" s="11" customFormat="1" ht="20.5" customHeight="1">
      <c r="A284" s="15"/>
      <c r="F284" s="15"/>
      <c r="G284" s="23"/>
    </row>
    <row r="285" spans="1:7" s="11" customFormat="1" ht="20.5" customHeight="1">
      <c r="A285" s="15"/>
      <c r="F285" s="15"/>
      <c r="G285" s="23"/>
    </row>
    <row r="286" spans="1:7" s="11" customFormat="1" ht="20.5" customHeight="1">
      <c r="A286" s="15"/>
      <c r="F286" s="15"/>
      <c r="G286" s="23"/>
    </row>
    <row r="287" spans="1:7" s="11" customFormat="1" ht="20.5" customHeight="1">
      <c r="A287" s="15"/>
      <c r="F287" s="15"/>
      <c r="G287" s="23"/>
    </row>
    <row r="288" spans="1:7" s="11" customFormat="1" ht="20.5" customHeight="1">
      <c r="A288" s="15"/>
      <c r="F288" s="15"/>
      <c r="G288" s="23"/>
    </row>
    <row r="289" spans="1:7" s="11" customFormat="1" ht="20.5" customHeight="1">
      <c r="A289" s="15"/>
      <c r="F289" s="15"/>
      <c r="G289" s="23"/>
    </row>
    <row r="290" spans="1:7" s="11" customFormat="1" ht="20.5" customHeight="1">
      <c r="A290" s="15"/>
      <c r="F290" s="15"/>
      <c r="G290" s="23"/>
    </row>
    <row r="291" spans="1:7" s="11" customFormat="1" ht="20.5" customHeight="1">
      <c r="A291" s="15"/>
      <c r="F291" s="15"/>
      <c r="G291" s="23"/>
    </row>
    <row r="292" spans="1:7" s="11" customFormat="1" ht="20.5" customHeight="1">
      <c r="A292" s="15"/>
      <c r="F292" s="15"/>
      <c r="G292" s="23"/>
    </row>
    <row r="293" spans="1:7" s="11" customFormat="1" ht="20.5" customHeight="1">
      <c r="A293" s="15"/>
      <c r="F293" s="15"/>
      <c r="G293" s="23"/>
    </row>
    <row r="294" spans="1:7" s="11" customFormat="1" ht="20.5" customHeight="1">
      <c r="A294" s="15"/>
      <c r="F294" s="15"/>
      <c r="G294" s="23"/>
    </row>
    <row r="295" spans="1:7" s="11" customFormat="1" ht="20.5" customHeight="1">
      <c r="A295" s="15"/>
      <c r="F295" s="15"/>
      <c r="G295" s="23"/>
    </row>
    <row r="296" spans="1:7" s="11" customFormat="1" ht="20.5" customHeight="1">
      <c r="A296" s="15"/>
      <c r="F296" s="15"/>
      <c r="G296" s="23"/>
    </row>
    <row r="297" spans="1:7" s="11" customFormat="1" ht="20.5" customHeight="1">
      <c r="A297" s="15"/>
      <c r="F297" s="15"/>
      <c r="G297" s="23"/>
    </row>
    <row r="298" spans="1:7" s="11" customFormat="1" ht="20.5" customHeight="1">
      <c r="A298" s="15"/>
      <c r="F298" s="15"/>
      <c r="G298" s="23"/>
    </row>
    <row r="299" spans="1:7" s="11" customFormat="1" ht="20.5" customHeight="1">
      <c r="A299" s="15"/>
      <c r="F299" s="15"/>
      <c r="G299" s="23"/>
    </row>
    <row r="300" spans="1:7" s="11" customFormat="1" ht="20.5" customHeight="1">
      <c r="A300" s="15"/>
      <c r="F300" s="15"/>
      <c r="G300" s="23"/>
    </row>
    <row r="301" spans="1:7" s="11" customFormat="1" ht="20.5" customHeight="1">
      <c r="A301" s="15"/>
      <c r="F301" s="15"/>
      <c r="G301" s="23"/>
    </row>
    <row r="302" spans="1:7" s="11" customFormat="1" ht="20.5" customHeight="1">
      <c r="A302" s="15"/>
      <c r="F302" s="15"/>
      <c r="G302" s="23"/>
    </row>
    <row r="303" spans="1:7" s="11" customFormat="1" ht="20.5" customHeight="1">
      <c r="A303" s="15"/>
      <c r="F303" s="15"/>
      <c r="G303" s="23"/>
    </row>
    <row r="304" spans="1:7" s="11" customFormat="1" ht="20.5" customHeight="1">
      <c r="A304" s="15"/>
      <c r="F304" s="15"/>
      <c r="G304" s="23"/>
    </row>
    <row r="305" spans="1:7" s="11" customFormat="1" ht="20.5" customHeight="1">
      <c r="A305" s="15"/>
      <c r="F305" s="15"/>
      <c r="G305" s="23"/>
    </row>
    <row r="306" spans="1:7" s="11" customFormat="1" ht="20.5" customHeight="1">
      <c r="A306" s="15"/>
      <c r="F306" s="15"/>
      <c r="G306" s="23"/>
    </row>
    <row r="307" spans="1:7" s="11" customFormat="1" ht="20.5" customHeight="1">
      <c r="A307" s="15"/>
      <c r="F307" s="15"/>
      <c r="G307" s="23"/>
    </row>
    <row r="308" spans="1:7" s="11" customFormat="1" ht="20.5" customHeight="1">
      <c r="A308" s="15"/>
      <c r="F308" s="15"/>
      <c r="G308" s="23"/>
    </row>
    <row r="309" spans="1:7" s="11" customFormat="1" ht="20.5" customHeight="1">
      <c r="A309" s="15"/>
      <c r="F309" s="15"/>
      <c r="G309" s="23"/>
    </row>
    <row r="310" spans="1:7" s="11" customFormat="1" ht="20.5" customHeight="1">
      <c r="A310" s="15"/>
      <c r="F310" s="15"/>
      <c r="G310" s="23"/>
    </row>
    <row r="311" spans="1:7" s="11" customFormat="1" ht="20.5" customHeight="1">
      <c r="A311" s="15"/>
      <c r="F311" s="15"/>
      <c r="G311" s="23"/>
    </row>
    <row r="312" spans="1:7" s="11" customFormat="1" ht="20.5" customHeight="1">
      <c r="A312" s="15"/>
      <c r="F312" s="15"/>
      <c r="G312" s="23"/>
    </row>
    <row r="313" spans="1:7" s="11" customFormat="1" ht="20.5" customHeight="1">
      <c r="A313" s="15"/>
      <c r="F313" s="15"/>
      <c r="G313" s="23"/>
    </row>
    <row r="314" spans="1:7" s="11" customFormat="1" ht="20.5" customHeight="1">
      <c r="A314" s="15"/>
      <c r="F314" s="15"/>
      <c r="G314" s="23"/>
    </row>
    <row r="315" spans="1:7" s="11" customFormat="1" ht="20.5" customHeight="1">
      <c r="A315" s="15"/>
      <c r="F315" s="15"/>
      <c r="G315" s="23"/>
    </row>
    <row r="316" spans="1:7" s="11" customFormat="1" ht="20.5" customHeight="1">
      <c r="A316" s="15"/>
      <c r="F316" s="15"/>
      <c r="G316" s="23"/>
    </row>
    <row r="317" spans="1:7" s="11" customFormat="1" ht="20.5" customHeight="1">
      <c r="A317" s="15"/>
      <c r="F317" s="15"/>
      <c r="G317" s="23"/>
    </row>
    <row r="318" spans="1:7" s="11" customFormat="1" ht="20.5" customHeight="1">
      <c r="A318" s="15"/>
      <c r="F318" s="15"/>
      <c r="G318" s="23"/>
    </row>
    <row r="319" spans="1:7" s="11" customFormat="1" ht="20.5" customHeight="1">
      <c r="A319" s="15"/>
      <c r="F319" s="15"/>
      <c r="G319" s="23"/>
    </row>
    <row r="320" spans="1:7" s="11" customFormat="1" ht="20.5" customHeight="1">
      <c r="A320" s="15"/>
      <c r="F320" s="15"/>
      <c r="G320" s="23"/>
    </row>
    <row r="321" spans="1:7" s="11" customFormat="1" ht="20.5" customHeight="1">
      <c r="A321" s="15"/>
      <c r="F321" s="15"/>
      <c r="G321" s="23"/>
    </row>
    <row r="322" spans="1:7" s="11" customFormat="1" ht="20.5" customHeight="1">
      <c r="A322" s="15"/>
      <c r="F322" s="15"/>
      <c r="G322" s="23"/>
    </row>
    <row r="323" spans="1:7" s="11" customFormat="1" ht="20.5" customHeight="1">
      <c r="A323" s="15"/>
      <c r="F323" s="15"/>
      <c r="G323" s="23"/>
    </row>
    <row r="324" spans="1:7" s="11" customFormat="1" ht="25" customHeight="1">
      <c r="A324" s="15"/>
      <c r="F324" s="15"/>
      <c r="G324" s="23"/>
    </row>
    <row r="325" spans="1:7" ht="41" customHeight="1"/>
  </sheetData>
  <autoFilter ref="L2:N231"/>
  <mergeCells count="5">
    <mergeCell ref="A183:G183"/>
    <mergeCell ref="A182:G182"/>
    <mergeCell ref="A1:J1"/>
    <mergeCell ref="A184:G184"/>
    <mergeCell ref="A185:G185"/>
  </mergeCells>
  <pageMargins left="0.75" right="0.75" top="1" bottom="1" header="0.5" footer="0.5"/>
  <pageSetup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B11" sqref="B11"/>
    </sheetView>
  </sheetViews>
  <sheetFormatPr defaultRowHeight="14.5"/>
  <sheetData>
    <row r="1" spans="1:3">
      <c r="A1" s="36">
        <v>1</v>
      </c>
      <c r="B1" s="36" t="s">
        <v>11</v>
      </c>
      <c r="C1" s="36">
        <v>6</v>
      </c>
    </row>
    <row r="2" spans="1:3">
      <c r="A2" s="36">
        <v>2</v>
      </c>
      <c r="B2" s="36" t="s">
        <v>321</v>
      </c>
      <c r="C2" s="36">
        <v>6</v>
      </c>
    </row>
    <row r="3" spans="1:3">
      <c r="A3" s="36">
        <v>3</v>
      </c>
      <c r="B3" s="36" t="s">
        <v>326</v>
      </c>
      <c r="C3" s="36">
        <v>6</v>
      </c>
    </row>
    <row r="4" spans="1:3">
      <c r="A4" s="36">
        <v>4</v>
      </c>
      <c r="B4" s="36" t="s">
        <v>318</v>
      </c>
      <c r="C4" s="36">
        <v>6</v>
      </c>
    </row>
    <row r="5" spans="1:3">
      <c r="A5" s="36">
        <v>5</v>
      </c>
      <c r="B5" s="36" t="s">
        <v>320</v>
      </c>
      <c r="C5" s="36">
        <v>6</v>
      </c>
    </row>
    <row r="6" spans="1:3">
      <c r="A6" s="36">
        <v>6</v>
      </c>
      <c r="B6" s="36" t="s">
        <v>454</v>
      </c>
      <c r="C6" s="36">
        <v>6</v>
      </c>
    </row>
    <row r="7" spans="1:3">
      <c r="A7" s="36">
        <v>7</v>
      </c>
      <c r="B7" s="36" t="s">
        <v>322</v>
      </c>
      <c r="C7" s="36">
        <v>6</v>
      </c>
    </row>
    <row r="8" spans="1:3">
      <c r="A8" s="36">
        <v>8</v>
      </c>
      <c r="B8" s="36" t="s">
        <v>455</v>
      </c>
      <c r="C8" s="36">
        <v>6</v>
      </c>
    </row>
    <row r="9" spans="1:3">
      <c r="A9" s="36">
        <v>8</v>
      </c>
      <c r="B9" s="36" t="s">
        <v>456</v>
      </c>
      <c r="C9" s="36">
        <v>6</v>
      </c>
    </row>
    <row r="10" spans="1:3" ht="19">
      <c r="A10" s="36">
        <v>6</v>
      </c>
      <c r="B10" s="36" t="s">
        <v>457</v>
      </c>
      <c r="C10" s="36">
        <v>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GAPOKTAN </vt:lpstr>
      <vt:lpstr>DATA POKTAN</vt:lpstr>
      <vt:lpstr>desa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Bagus Hartiansyah</cp:lastModifiedBy>
  <dcterms:created xsi:type="dcterms:W3CDTF">2026-06-10T01:21:18Z</dcterms:created>
  <dcterms:modified xsi:type="dcterms:W3CDTF">2026-07-05T23:47:47Z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D37E91C743B04CE0B1BEA0A1C1D90B3F_13</vt:lpwstr>
  </property>
  <property fmtid="{D5CDD505-2E9C-101B-9397-08002B2CF9AE}" pid="3" name="KSOProductBuildVer">
    <vt:lpwstr>1033-12.1.0.26880</vt:lpwstr>
  </property>
  <property fmtid="{D5CDD505-2E9C-101B-9397-08002B2CF9AE}" pid="4" name="CalculationRule">
    <vt:i4>0</vt:i4>
  </property>
</Properties>
</file>