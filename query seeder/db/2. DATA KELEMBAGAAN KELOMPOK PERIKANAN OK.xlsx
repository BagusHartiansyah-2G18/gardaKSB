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bhar1609\OneDrive - Amman Mineral\Documents\BGS\kawal_LPDM\kawal_LPMD\"/>
    </mc:Choice>
  </mc:AlternateContent>
  <bookViews>
    <workbookView xWindow="-110" yWindow="-110" windowWidth="19420" windowHeight="10300" tabRatio="500"/>
  </bookViews>
  <sheets>
    <sheet name="DATA KELEMBAGAAN PERIKANAN" sheetId="6" r:id="rId1"/>
    <sheet name="Sheet1" sheetId="7" r:id="rId2"/>
    <sheet name="desa" sheetId="8" r:id="rId3"/>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5" i="6" l="1"/>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4" i="6"/>
  <c r="O5" i="6"/>
  <c r="O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4" i="6"/>
</calcChain>
</file>

<file path=xl/sharedStrings.xml><?xml version="1.0" encoding="utf-8"?>
<sst xmlns="http://schemas.openxmlformats.org/spreadsheetml/2006/main" count="529" uniqueCount="212">
  <si>
    <t>Kiantar</t>
  </si>
  <si>
    <t>Saparuddin</t>
  </si>
  <si>
    <t>Suldim</t>
  </si>
  <si>
    <t>-</t>
  </si>
  <si>
    <t>Alfian</t>
  </si>
  <si>
    <t>Syarifuddin</t>
  </si>
  <si>
    <t>Syafruddin</t>
  </si>
  <si>
    <t>Samsuddin</t>
  </si>
  <si>
    <t>Yuliana</t>
  </si>
  <si>
    <t>Burhanuddin</t>
  </si>
  <si>
    <t>Mustaram</t>
  </si>
  <si>
    <t>Basaruddin</t>
  </si>
  <si>
    <t>Jumlah Anggota</t>
  </si>
  <si>
    <t>Status Operasional (Aktif/Tidak Aktif)</t>
  </si>
  <si>
    <t>Deskripisi:</t>
  </si>
  <si>
    <t>No.</t>
  </si>
  <si>
    <t>KUB Pendi Jangi</t>
  </si>
  <si>
    <t>Madya</t>
  </si>
  <si>
    <t>-8.592626, 116.797773</t>
  </si>
  <si>
    <t>Poto Tano</t>
  </si>
  <si>
    <t>Penangkapan</t>
  </si>
  <si>
    <t>Ikan Laut</t>
  </si>
  <si>
    <t>KUB Tari Pemendi</t>
  </si>
  <si>
    <t>Abu Bakar M</t>
  </si>
  <si>
    <t>Hasbullah</t>
  </si>
  <si>
    <t>Pemula</t>
  </si>
  <si>
    <t>KUB Saling Pariri</t>
  </si>
  <si>
    <t>KUB Poto Gili</t>
  </si>
  <si>
    <t>Syarifuddin Arirs</t>
  </si>
  <si>
    <t>Senayan</t>
  </si>
  <si>
    <t>Pembesaran</t>
  </si>
  <si>
    <t>Rumput Laut</t>
  </si>
  <si>
    <t>Long Line</t>
  </si>
  <si>
    <t>Pokdakan Sagena Bahari</t>
  </si>
  <si>
    <t>Syarifuddin P</t>
  </si>
  <si>
    <t>-8.580129, 116.816388</t>
  </si>
  <si>
    <t>Gapokkan Sagena Sejahtera</t>
  </si>
  <si>
    <t>-8.580675, 116.813514</t>
  </si>
  <si>
    <t>Rumput Laut, Kerapu, Bawal</t>
  </si>
  <si>
    <t>Long Line, KJA</t>
  </si>
  <si>
    <t>Pokdakan Pendi Jangi</t>
  </si>
  <si>
    <t>-8.580901, 116.813304</t>
  </si>
  <si>
    <t>Rumput Laut, Bawal, Kerapu</t>
  </si>
  <si>
    <t>Pokdakan Sekar Bahari</t>
  </si>
  <si>
    <t>Ibnul Irsal</t>
  </si>
  <si>
    <t>-8.538898, 116.856802</t>
  </si>
  <si>
    <t>Kokarlian</t>
  </si>
  <si>
    <t>Pokdakan Samudera</t>
  </si>
  <si>
    <t>Muhammad Rojik</t>
  </si>
  <si>
    <t>-8.538903, 116.856037</t>
  </si>
  <si>
    <t>Pokdakan Bangka Bella</t>
  </si>
  <si>
    <t>Tua nanga</t>
  </si>
  <si>
    <t>Patok dasar</t>
  </si>
  <si>
    <t>Pokdakan Bukit Kenangan</t>
  </si>
  <si>
    <t>Muhatadim</t>
  </si>
  <si>
    <t>--</t>
  </si>
  <si>
    <t>Pokdakan Maju Jaya</t>
  </si>
  <si>
    <t>Jayadi</t>
  </si>
  <si>
    <t>Pokdakan Niat Balong</t>
  </si>
  <si>
    <t>KUB. Usaha Mandiri</t>
  </si>
  <si>
    <t>Margauddin</t>
  </si>
  <si>
    <t>-8.528424, 116.832260</t>
  </si>
  <si>
    <t>Ikan laut</t>
  </si>
  <si>
    <t>Poklahsar Karya Makmur</t>
  </si>
  <si>
    <t>Ninik Lestari</t>
  </si>
  <si>
    <t>Pengolahan</t>
  </si>
  <si>
    <t>Ikan</t>
  </si>
  <si>
    <t>Poklahsar Karya Tani</t>
  </si>
  <si>
    <t>Timor Yati</t>
  </si>
  <si>
    <t>Gurita</t>
  </si>
  <si>
    <t>Poklahsar Sepakek Barokah</t>
  </si>
  <si>
    <t>Fatmawati</t>
  </si>
  <si>
    <t>Koperasi Serba Usaha Sagena Mandiri Sejahtera</t>
  </si>
  <si>
    <t>Pemasaran Hasil Laut</t>
  </si>
  <si>
    <t>Rumput laut dan ikan</t>
  </si>
  <si>
    <t>KUB Kakap Merah</t>
  </si>
  <si>
    <t>Najamuddin</t>
  </si>
  <si>
    <t>-8. 530699, 116. 832078</t>
  </si>
  <si>
    <t>KUB Kuda Laut</t>
  </si>
  <si>
    <t>Kamaruddin B</t>
  </si>
  <si>
    <t>-8. 530619, 116. 833139</t>
  </si>
  <si>
    <t>KUB. Baci Lestari</t>
  </si>
  <si>
    <t>Madahu</t>
  </si>
  <si>
    <t>-8. 528489, 116. 831742</t>
  </si>
  <si>
    <t>KUB. Bahari Abadi</t>
  </si>
  <si>
    <t>Marzuki</t>
  </si>
  <si>
    <t>-8. 528265, 116. 832133</t>
  </si>
  <si>
    <t>KUB. Citra Bahari</t>
  </si>
  <si>
    <t>Mansaha</t>
  </si>
  <si>
    <t>-8.529516, 116.831766</t>
  </si>
  <si>
    <t>KUB.Laut Biru</t>
  </si>
  <si>
    <t>Suharli</t>
  </si>
  <si>
    <t>-8. 527658, 116. 832237</t>
  </si>
  <si>
    <t>KUB. Maju Indah</t>
  </si>
  <si>
    <t>Manaku</t>
  </si>
  <si>
    <t>-8. 529558, 116. 832728</t>
  </si>
  <si>
    <t>KUB. Napoleon</t>
  </si>
  <si>
    <t>Agustino</t>
  </si>
  <si>
    <t>-8. 527828, 116. 832348</t>
  </si>
  <si>
    <t>KUB. Pembaharuan</t>
  </si>
  <si>
    <t>Sudirman</t>
  </si>
  <si>
    <t>-8. 526633, 116. 831693</t>
  </si>
  <si>
    <t>KUB. Perubahan</t>
  </si>
  <si>
    <t>Manajai</t>
  </si>
  <si>
    <t>-8.527303, 116. 831851</t>
  </si>
  <si>
    <t>KUB. Sikase – Ase</t>
  </si>
  <si>
    <t>Samarollah</t>
  </si>
  <si>
    <t>-8.52883,  116. 832399</t>
  </si>
  <si>
    <t>Sinar Bahari</t>
  </si>
  <si>
    <t>Saripuddin</t>
  </si>
  <si>
    <t>-8.581327, 116.832145</t>
  </si>
  <si>
    <t>Tano Jaya</t>
  </si>
  <si>
    <t>Hadijah</t>
  </si>
  <si>
    <t>-8.5277940, 116.832145</t>
  </si>
  <si>
    <t>Poto tano</t>
  </si>
  <si>
    <t>pengolah</t>
  </si>
  <si>
    <t>Abon Ikan</t>
  </si>
  <si>
    <t>Penyare</t>
  </si>
  <si>
    <t>-8.608167, 116.860619</t>
  </si>
  <si>
    <t>Tebo</t>
  </si>
  <si>
    <t>Nila, karper</t>
  </si>
  <si>
    <t>kolam tanah, kolam beton</t>
  </si>
  <si>
    <t>Tradisional</t>
  </si>
  <si>
    <t>Jorok Aer</t>
  </si>
  <si>
    <t>M. Zain Lubis</t>
  </si>
  <si>
    <t>-8.618196, 116.857232</t>
  </si>
  <si>
    <t>Nila</t>
  </si>
  <si>
    <t>kolam tanah</t>
  </si>
  <si>
    <t>Pemuda Perubahan</t>
  </si>
  <si>
    <t>Saepul Haq</t>
  </si>
  <si>
    <t>-8.564049, 116.842005</t>
  </si>
  <si>
    <t>Tambak sari</t>
  </si>
  <si>
    <t>kolam terpal</t>
  </si>
  <si>
    <t>Semi Intensif</t>
  </si>
  <si>
    <t>KUB Plasma</t>
  </si>
  <si>
    <t>Margana</t>
  </si>
  <si>
    <t>-8.567836, 118.842697</t>
  </si>
  <si>
    <t>Pokdakan Sama Maras</t>
  </si>
  <si>
    <t>Emil</t>
  </si>
  <si>
    <t>Tuananga</t>
  </si>
  <si>
    <t>Budidaya</t>
  </si>
  <si>
    <t>KUB Pelita Poto Tano</t>
  </si>
  <si>
    <t>Mahari</t>
  </si>
  <si>
    <t>KUB Jaring Maero</t>
  </si>
  <si>
    <t>Mustar</t>
  </si>
  <si>
    <t>Poklahsar Persatuan Pasir Putih</t>
  </si>
  <si>
    <t>Pokdakan Saruruk Bangkit</t>
  </si>
  <si>
    <t>Zainudin</t>
  </si>
  <si>
    <t>Rumput laut</t>
  </si>
  <si>
    <t>Lepas Dasar</t>
  </si>
  <si>
    <t>Saruruk Maju</t>
  </si>
  <si>
    <t>Maronge Barokah</t>
  </si>
  <si>
    <t>Anugerah Laut</t>
  </si>
  <si>
    <t>M. Sabur</t>
  </si>
  <si>
    <t>Saling Sakiki</t>
  </si>
  <si>
    <t>Asanul</t>
  </si>
  <si>
    <t>Limung Prapat</t>
  </si>
  <si>
    <t>Andi Aziz</t>
  </si>
  <si>
    <t>Ingat Bersama</t>
  </si>
  <si>
    <t>A.Haris Hamid</t>
  </si>
  <si>
    <t>Pokmaswas Bangka Bela</t>
  </si>
  <si>
    <t>Zakaria</t>
  </si>
  <si>
    <t>Pengawasan dan pelestarian</t>
  </si>
  <si>
    <t>DATA KELEMBAGAAN PERIKANAN KECAMATAN POTO TANO</t>
  </si>
  <si>
    <t>Kelas Kelompok</t>
  </si>
  <si>
    <t>Nama Kelompok</t>
  </si>
  <si>
    <t>Luas Lahan (M2)</t>
  </si>
  <si>
    <t>Desa</t>
  </si>
  <si>
    <t>Ketua Kelompok</t>
  </si>
  <si>
    <t>Posisi Koordinat Kelompok</t>
  </si>
  <si>
    <t>Komoditas</t>
  </si>
  <si>
    <t>Jenis Usaha</t>
  </si>
  <si>
    <t>Wadah</t>
  </si>
  <si>
    <t>Teknologi</t>
  </si>
  <si>
    <t>Aktif</t>
  </si>
  <si>
    <t>'- Kelembagaan perikanan merupakan organisasi atau wadah yang dibentuk oleh pelaku utama sektor perikanan, baik nelayan, pembudidaya ikan, pengolah, maupun pemasar hasil perikanan, yang bertujuan untuk mengorganisasi kegiatan usaha, meningkatkan kapasitas anggota, memperkuat akses terhadap teknologi, permodalan, pasar, serta mendukung keberlanjutan usaha perikanan (Peraturan Menteri Kelautan dan Perikanan Nomor 28 Tahun 2024 tentang Penumbuhan dan Pengembangan Kelembagaan Pelaku Usaha dan Pelaku Pendukung Sektor Kelautan dan Perikanan)</t>
  </si>
  <si>
    <t xml:space="preserve">-'Bentuk kelembagaan perikanan di Kecamatan Poto tano antara lain Kelompok nelayan, Pokdakan (Kelompok Pembudidaya Ikan), Poklahsar, Kelompok Usaha Bersama (KUB), serta Pokmaswas. </t>
  </si>
  <si>
    <t>- Sumber Data : Penyuluh Perikanan Kecamatan Poto Tano, Juni 2026</t>
  </si>
  <si>
    <t>KUB Balong Niat</t>
  </si>
  <si>
    <t>Penjelasan Tiap Istilah</t>
  </si>
  <si>
    <t>1. 🎣 Kelompok Nelayan</t>
  </si>
  <si>
    <t>Kumpulan nelayan tangkap (melaut)</t>
  </si>
  <si>
    <t>Fokus: menangkap ikan di laut</t>
  </si>
  <si>
    <t>2. 🐟 Pokdakan (Kelompok Pembudidaya Ikan)</t>
  </si>
  <si>
    <r>
      <t xml:space="preserve">Kelompok yang </t>
    </r>
    <r>
      <rPr>
        <b/>
        <sz val="7"/>
        <rFont val="Segoe UI"/>
        <family val="2"/>
      </rPr>
      <t>membudidayakan ikan</t>
    </r>
  </si>
  <si>
    <t>Contoh:</t>
  </si>
  <si>
    <t>Tambak ikan</t>
  </si>
  <si>
    <t>Keramba</t>
  </si>
  <si>
    <t>Kolam budidaya</t>
  </si>
  <si>
    <t>👉 Bukan nelayan tangkap, tapi petani ikan</t>
  </si>
  <si>
    <t>3. 🐠 Poklahsar (Kelompok Pengolah dan Pemasar)</t>
  </si>
  <si>
    <r>
      <t xml:space="preserve">Kelompok yang </t>
    </r>
    <r>
      <rPr>
        <b/>
        <sz val="7"/>
        <rFont val="Segoe UI"/>
        <family val="2"/>
      </rPr>
      <t>mengolah dan menjual hasil perikanan</t>
    </r>
  </si>
  <si>
    <t>Ikan asin</t>
  </si>
  <si>
    <t>Abon ikan</t>
  </si>
  <si>
    <t>Produk olahan lainnya</t>
  </si>
  <si>
    <r>
      <t xml:space="preserve">👉 Fokus ke </t>
    </r>
    <r>
      <rPr>
        <b/>
        <sz val="7"/>
        <rFont val="Segoe UI"/>
        <family val="2"/>
      </rPr>
      <t>nilai tambah &amp; penjualan</t>
    </r>
  </si>
  <si>
    <t>4. 🤝 Kelompok Usaha Bersama (KUB)</t>
  </si>
  <si>
    <t>Kelompok usaha yang dijalankan bersama</t>
  </si>
  <si>
    <t>Bisa berupa:</t>
  </si>
  <si>
    <r>
      <t xml:space="preserve">👉 Biasanya untuk </t>
    </r>
    <r>
      <rPr>
        <b/>
        <sz val="7"/>
        <rFont val="Segoe UI"/>
        <family val="2"/>
      </rPr>
      <t>meningkatkan ekonomi bersama</t>
    </r>
  </si>
  <si>
    <t>5. 👮 Pokmaswas (Kelompok Masyarakat Pengawas)</t>
  </si>
  <si>
    <r>
      <t xml:space="preserve">Kelompok masyarakat yang </t>
    </r>
    <r>
      <rPr>
        <b/>
        <sz val="7"/>
        <rFont val="Segoe UI"/>
        <family val="2"/>
      </rPr>
      <t>mengawasi aktivitas perikanan</t>
    </r>
  </si>
  <si>
    <t>Tugas:</t>
  </si>
  <si>
    <t>Mencegah illegal fishing</t>
  </si>
  <si>
    <t>Menjaga kelestarian laut</t>
  </si>
  <si>
    <t>Melaporkan pelanggaran</t>
  </si>
  <si>
    <t>data legalitas bumdes apa aja</t>
  </si>
  <si>
    <t>informasi umum klembagaan</t>
  </si>
  <si>
    <t>Mantar</t>
  </si>
  <si>
    <t>Tambak Sari</t>
  </si>
  <si>
    <t>upt Tambak Sari</t>
  </si>
  <si>
    <t>PERIKANAN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</si>
</sst>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font>
      <sz val="11"/>
      <name val="Calibri"/>
      <charset val="134"/>
    </font>
    <font>
      <sz val="11"/>
      <name val="Calibri"/>
      <family val="2"/>
    </font>
    <font>
      <b/>
      <sz val="11"/>
      <name val="Bookman Old Style"/>
      <family val="1"/>
    </font>
    <font>
      <sz val="11"/>
      <name val="Bookman Old Style"/>
      <family val="1"/>
    </font>
    <font>
      <b/>
      <sz val="12"/>
      <name val="Bookman Old Style"/>
      <family val="1"/>
    </font>
    <font>
      <i/>
      <sz val="12"/>
      <name val="Bookman Old Style"/>
      <family val="1"/>
    </font>
    <font>
      <sz val="12"/>
      <name val="Bookman Old Style"/>
      <family val="1"/>
    </font>
    <font>
      <i/>
      <sz val="12"/>
      <color rgb="FF555555"/>
      <name val="Bookman Old Style"/>
      <family val="1"/>
    </font>
    <font>
      <sz val="12"/>
      <color rgb="FF000000"/>
      <name val="Bookman Old Style"/>
      <family val="1"/>
    </font>
    <font>
      <sz val="11"/>
      <color rgb="FF000000"/>
      <name val="Bookman Old Style"/>
      <family val="1"/>
    </font>
    <font>
      <b/>
      <sz val="12"/>
      <color rgb="FF000000"/>
      <name val="Bookman Old Style"/>
      <family val="1"/>
    </font>
    <font>
      <sz val="7"/>
      <name val="Segoe UI"/>
      <family val="2"/>
    </font>
    <font>
      <b/>
      <sz val="24"/>
      <name val="Segoe UI"/>
      <family val="2"/>
    </font>
    <font>
      <b/>
      <sz val="18"/>
      <name val="Segoe UI"/>
      <family val="2"/>
    </font>
    <font>
      <b/>
      <sz val="7"/>
      <name val="Segoe UI"/>
      <family val="2"/>
    </font>
    <font>
      <sz val="7"/>
      <name val="Consolas"/>
      <family val="3"/>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2">
    <xf numFmtId="0" fontId="0" fillId="0" borderId="0"/>
    <xf numFmtId="0" fontId="1" fillId="0" borderId="0"/>
  </cellStyleXfs>
  <cellXfs count="37">
    <xf numFmtId="0" fontId="0" fillId="0" borderId="0" xfId="0"/>
    <xf numFmtId="0" fontId="1" fillId="0" borderId="0" xfId="0" applyFont="1" applyAlignment="1">
      <alignment horizontal="center"/>
    </xf>
    <xf numFmtId="0" fontId="3" fillId="0" borderId="0" xfId="0" applyFont="1"/>
    <xf numFmtId="0" fontId="5" fillId="0" borderId="0" xfId="0" applyFont="1" applyAlignment="1">
      <alignment horizontal="left"/>
    </xf>
    <xf numFmtId="0" fontId="6" fillId="0" borderId="0" xfId="0" applyFont="1" applyAlignment="1">
      <alignment horizontal="left"/>
    </xf>
    <xf numFmtId="0" fontId="6" fillId="0" borderId="0" xfId="0" applyFont="1"/>
    <xf numFmtId="0" fontId="6" fillId="0" borderId="0" xfId="0" applyFont="1" applyAlignment="1">
      <alignment horizontal="center"/>
    </xf>
    <xf numFmtId="0" fontId="1" fillId="0" borderId="0" xfId="0" applyFont="1"/>
    <xf numFmtId="0" fontId="4" fillId="0" borderId="0" xfId="0" applyFont="1" applyAlignment="1">
      <alignment vertical="center"/>
    </xf>
    <xf numFmtId="0" fontId="2" fillId="0" borderId="0" xfId="0" applyFont="1"/>
    <xf numFmtId="0" fontId="6" fillId="0" borderId="0" xfId="0" applyFont="1" applyAlignment="1">
      <alignment vertical="center"/>
    </xf>
    <xf numFmtId="0" fontId="3" fillId="0" borderId="0" xfId="0" applyFont="1" applyAlignment="1">
      <alignment vertical="center" wrapText="1"/>
    </xf>
    <xf numFmtId="0" fontId="8" fillId="0" borderId="0" xfId="0" applyFont="1" applyAlignment="1">
      <alignment vertical="center"/>
    </xf>
    <xf numFmtId="0" fontId="9" fillId="2" borderId="0" xfId="0" applyFont="1" applyFill="1" applyAlignment="1">
      <alignment horizontal="center" vertical="center" wrapText="1"/>
    </xf>
    <xf numFmtId="0" fontId="3" fillId="2" borderId="0" xfId="0" applyFont="1" applyFill="1" applyAlignment="1">
      <alignment vertical="top" wrapText="1"/>
    </xf>
    <xf numFmtId="0" fontId="3" fillId="2" borderId="0" xfId="0" applyFont="1" applyFill="1" applyAlignment="1">
      <alignment vertical="center" wrapText="1"/>
    </xf>
    <xf numFmtId="0" fontId="9" fillId="2" borderId="0" xfId="0" applyFont="1" applyFill="1" applyAlignment="1">
      <alignment horizontal="center" vertical="center"/>
    </xf>
    <xf numFmtId="0" fontId="9" fillId="2" borderId="0" xfId="0" applyFont="1" applyFill="1" applyAlignment="1">
      <alignment horizontal="left" vertical="center" wrapText="1"/>
    </xf>
    <xf numFmtId="0" fontId="9" fillId="2" borderId="0" xfId="0" applyFont="1" applyFill="1" applyAlignment="1">
      <alignment vertical="center" wrapText="1"/>
    </xf>
    <xf numFmtId="0" fontId="9" fillId="2" borderId="0" xfId="0" applyFont="1" applyFill="1" applyAlignment="1">
      <alignment horizontal="left" vertical="center"/>
    </xf>
    <xf numFmtId="0" fontId="9" fillId="2" borderId="0" xfId="0" applyFont="1" applyFill="1" applyAlignment="1">
      <alignment vertical="center"/>
    </xf>
    <xf numFmtId="0" fontId="9" fillId="0" borderId="0" xfId="0" applyFont="1" applyAlignment="1">
      <alignment horizontal="center" vertical="center" wrapText="1"/>
    </xf>
    <xf numFmtId="0" fontId="3" fillId="2" borderId="0" xfId="0" applyFont="1" applyFill="1" applyAlignment="1">
      <alignment horizontal="center" vertical="center" wrapText="1"/>
    </xf>
    <xf numFmtId="0" fontId="10" fillId="0" borderId="0" xfId="0" applyFont="1" applyAlignment="1">
      <alignment horizontal="center" vertical="center" wrapText="1"/>
    </xf>
    <xf numFmtId="0" fontId="6" fillId="0" borderId="0" xfId="0" applyFont="1" applyAlignment="1">
      <alignment vertical="center" wrapText="1"/>
    </xf>
    <xf numFmtId="0" fontId="3" fillId="2" borderId="0" xfId="0" applyFont="1" applyFill="1" applyAlignment="1">
      <alignment horizontal="center" vertical="center"/>
    </xf>
    <xf numFmtId="0" fontId="0" fillId="0" borderId="0" xfId="0" applyAlignment="1">
      <alignment vertical="center"/>
    </xf>
    <xf numFmtId="0" fontId="12" fillId="0" borderId="0" xfId="0" applyFont="1" applyAlignment="1">
      <alignment vertical="center"/>
    </xf>
    <xf numFmtId="0" fontId="13" fillId="0" borderId="0" xfId="0" applyFont="1" applyAlignment="1">
      <alignment vertical="center"/>
    </xf>
    <xf numFmtId="0" fontId="0" fillId="0" borderId="0" xfId="0" applyAlignment="1">
      <alignment horizontal="left" vertical="center" indent="1"/>
    </xf>
    <xf numFmtId="0" fontId="11" fillId="0" borderId="0" xfId="0" applyFont="1" applyAlignment="1">
      <alignment horizontal="left" vertical="center" indent="1"/>
    </xf>
    <xf numFmtId="0" fontId="11" fillId="0" borderId="0" xfId="0" applyFont="1" applyAlignment="1">
      <alignment horizontal="left" vertical="center" indent="2"/>
    </xf>
    <xf numFmtId="0" fontId="11" fillId="0" borderId="0" xfId="0" applyFont="1" applyAlignment="1">
      <alignment vertical="center"/>
    </xf>
    <xf numFmtId="0" fontId="7" fillId="0" borderId="0" xfId="0" quotePrefix="1" applyFont="1" applyAlignment="1">
      <alignment horizontal="left" vertical="center" wrapText="1"/>
    </xf>
    <xf numFmtId="0" fontId="6" fillId="0" borderId="0" xfId="1" applyFont="1"/>
    <xf numFmtId="0" fontId="15" fillId="0" borderId="0" xfId="1" applyFont="1" applyAlignment="1">
      <alignment vertical="center" wrapText="1"/>
    </xf>
    <xf numFmtId="0" fontId="1" fillId="0" borderId="0" xfId="1"/>
  </cellXfs>
  <cellStyles count="2">
    <cellStyle name="Normal" xfId="0" builtinId="0"/>
    <cellStyle name="Normal 2" xfId="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6"/>
  <sheetViews>
    <sheetView tabSelected="1" topLeftCell="I42" workbookViewId="0">
      <selection activeCell="L53" sqref="L53"/>
    </sheetView>
  </sheetViews>
  <sheetFormatPr defaultRowHeight="14"/>
  <cols>
    <col min="1" max="1" width="6.453125" style="2" customWidth="1"/>
    <col min="2" max="2" width="17.453125" style="2" customWidth="1"/>
    <col min="3" max="3" width="27.1796875" style="2" customWidth="1"/>
    <col min="4" max="4" width="16.81640625" style="2" customWidth="1"/>
    <col min="5" max="5" width="21.36328125" style="2" customWidth="1"/>
    <col min="6" max="6" width="14" style="2" customWidth="1"/>
    <col min="7" max="7" width="28.1796875" style="2" customWidth="1"/>
    <col min="8" max="8" width="19.26953125" style="2" customWidth="1"/>
    <col min="9" max="9" width="27" style="2" customWidth="1"/>
    <col min="10" max="10" width="16.90625" style="2" customWidth="1"/>
    <col min="11" max="11" width="15.453125" style="2" customWidth="1"/>
    <col min="12" max="12" width="16.90625" style="2" customWidth="1"/>
    <col min="13" max="13" width="26.26953125" style="2" customWidth="1"/>
    <col min="14" max="16384" width="8.7265625" style="2"/>
  </cols>
  <sheetData>
    <row r="1" spans="1:17" ht="15.5">
      <c r="A1" s="8" t="s">
        <v>163</v>
      </c>
      <c r="C1" s="9"/>
      <c r="D1" s="9"/>
      <c r="E1" s="9"/>
      <c r="F1" s="9"/>
      <c r="G1" s="9"/>
    </row>
    <row r="2" spans="1:17" ht="15.5">
      <c r="A2" s="10"/>
    </row>
    <row r="3" spans="1:17" s="5" customFormat="1" ht="50" customHeight="1">
      <c r="A3" s="23" t="s">
        <v>15</v>
      </c>
      <c r="B3" s="23" t="s">
        <v>167</v>
      </c>
      <c r="C3" s="23" t="s">
        <v>165</v>
      </c>
      <c r="D3" s="23" t="s">
        <v>164</v>
      </c>
      <c r="E3" s="23" t="s">
        <v>168</v>
      </c>
      <c r="F3" s="23" t="s">
        <v>12</v>
      </c>
      <c r="G3" s="23" t="s">
        <v>169</v>
      </c>
      <c r="H3" s="23" t="s">
        <v>171</v>
      </c>
      <c r="I3" s="23" t="s">
        <v>170</v>
      </c>
      <c r="J3" s="23" t="s">
        <v>172</v>
      </c>
      <c r="K3" s="23" t="s">
        <v>173</v>
      </c>
      <c r="L3" s="23" t="s">
        <v>166</v>
      </c>
      <c r="M3" s="23" t="s">
        <v>13</v>
      </c>
      <c r="N3" s="24"/>
      <c r="O3" s="24"/>
    </row>
    <row r="4" spans="1:17" ht="32" customHeight="1">
      <c r="A4" s="16">
        <v>1</v>
      </c>
      <c r="B4" s="17" t="s">
        <v>29</v>
      </c>
      <c r="C4" s="18" t="s">
        <v>27</v>
      </c>
      <c r="D4" s="13" t="s">
        <v>17</v>
      </c>
      <c r="E4" s="18" t="s">
        <v>28</v>
      </c>
      <c r="F4" s="13">
        <v>15</v>
      </c>
      <c r="G4" s="13"/>
      <c r="H4" s="13" t="s">
        <v>20</v>
      </c>
      <c r="I4" s="16" t="s">
        <v>21</v>
      </c>
      <c r="J4" s="13"/>
      <c r="K4" s="13"/>
      <c r="L4" s="13"/>
      <c r="M4" s="13" t="s">
        <v>174</v>
      </c>
      <c r="N4" s="11"/>
      <c r="O4" s="34">
        <f>INDEX(desa!A:A,MATCH(B4,desa!B:B,0))</f>
        <v>5</v>
      </c>
      <c r="P4" s="7" t="s">
        <v>211</v>
      </c>
      <c r="Q4" s="34" t="str">
        <f>CONCATENATE("('",O4,";",C4,";",D4,";",E4,";",F4,";",G4,";",I4,";",M4,";",P4,"'),")</f>
        <v>('5;KUB Poto Gili;Madya;Syarifuddin Arirs;15;;Ikan Laut;Aktif;PERIKANAN'),</v>
      </c>
    </row>
    <row r="5" spans="1:17" ht="32" customHeight="1">
      <c r="A5" s="16">
        <v>2</v>
      </c>
      <c r="B5" s="17" t="s">
        <v>29</v>
      </c>
      <c r="C5" s="18" t="s">
        <v>70</v>
      </c>
      <c r="D5" s="13" t="s">
        <v>25</v>
      </c>
      <c r="E5" s="18" t="s">
        <v>71</v>
      </c>
      <c r="F5" s="13">
        <v>10</v>
      </c>
      <c r="G5" s="13"/>
      <c r="H5" s="13" t="s">
        <v>65</v>
      </c>
      <c r="I5" s="16" t="s">
        <v>21</v>
      </c>
      <c r="J5" s="13"/>
      <c r="K5" s="13"/>
      <c r="L5" s="13"/>
      <c r="M5" s="13" t="s">
        <v>174</v>
      </c>
      <c r="N5" s="11"/>
      <c r="O5" s="34">
        <f>INDEX(desa!A:A,MATCH(B5,desa!B:B,0))</f>
        <v>5</v>
      </c>
      <c r="P5" s="7" t="s">
        <v>211</v>
      </c>
      <c r="Q5" s="34" t="str">
        <f t="shared" ref="Q5:Q51" si="0">CONCATENATE("('",O5,";",C5,";",D5,";",E5,";",F5,";",G5,";",I5,";",M5,";",P5,"'),")</f>
        <v>('5;Poklahsar Sepakek Barokah;Pemula;Fatmawati;10;;Ikan Laut;Aktif;PERIKANAN'),</v>
      </c>
    </row>
    <row r="6" spans="1:17" ht="32" customHeight="1">
      <c r="A6" s="16">
        <v>3</v>
      </c>
      <c r="B6" s="17" t="s">
        <v>29</v>
      </c>
      <c r="C6" s="18" t="s">
        <v>123</v>
      </c>
      <c r="D6" s="16" t="s">
        <v>25</v>
      </c>
      <c r="E6" s="18" t="s">
        <v>124</v>
      </c>
      <c r="F6" s="13">
        <v>7</v>
      </c>
      <c r="G6" s="13" t="s">
        <v>125</v>
      </c>
      <c r="H6" s="13" t="s">
        <v>30</v>
      </c>
      <c r="I6" s="16" t="s">
        <v>126</v>
      </c>
      <c r="J6" s="13" t="s">
        <v>127</v>
      </c>
      <c r="K6" s="13"/>
      <c r="L6" s="13">
        <v>810</v>
      </c>
      <c r="M6" s="13" t="s">
        <v>174</v>
      </c>
      <c r="N6" s="11"/>
      <c r="O6" s="34">
        <f>INDEX(desa!A:A,MATCH(B6,desa!B:B,0))</f>
        <v>5</v>
      </c>
      <c r="P6" s="7" t="s">
        <v>211</v>
      </c>
      <c r="Q6" s="34" t="str">
        <f t="shared" si="0"/>
        <v>('5;Jorok Aer;Pemula;M. Zain Lubis;7;-8.618196, 116.857232;Nila;Aktif;PERIKANAN'),</v>
      </c>
    </row>
    <row r="7" spans="1:17" ht="32" customHeight="1">
      <c r="A7" s="16">
        <v>4</v>
      </c>
      <c r="B7" s="17" t="s">
        <v>0</v>
      </c>
      <c r="C7" s="18" t="s">
        <v>16</v>
      </c>
      <c r="D7" s="13" t="s">
        <v>17</v>
      </c>
      <c r="E7" s="18" t="s">
        <v>10</v>
      </c>
      <c r="F7" s="13">
        <v>10</v>
      </c>
      <c r="G7" s="13" t="s">
        <v>18</v>
      </c>
      <c r="H7" s="13" t="s">
        <v>20</v>
      </c>
      <c r="I7" s="16" t="s">
        <v>21</v>
      </c>
      <c r="J7" s="14"/>
      <c r="K7" s="14"/>
      <c r="L7" s="14"/>
      <c r="M7" s="13" t="s">
        <v>174</v>
      </c>
      <c r="N7" s="11"/>
      <c r="O7" s="34">
        <f>INDEX(desa!A:A,MATCH(B7,desa!B:B,0))</f>
        <v>1</v>
      </c>
      <c r="P7" s="7" t="s">
        <v>211</v>
      </c>
      <c r="Q7" s="34" t="str">
        <f t="shared" si="0"/>
        <v>('1;KUB Pendi Jangi;Madya;Mustaram;10;-8.592626, 116.797773;Ikan Laut;Aktif;PERIKANAN'),</v>
      </c>
    </row>
    <row r="8" spans="1:17" ht="32" customHeight="1">
      <c r="A8" s="16">
        <v>5</v>
      </c>
      <c r="B8" s="17" t="s">
        <v>0</v>
      </c>
      <c r="C8" s="18" t="s">
        <v>22</v>
      </c>
      <c r="D8" s="13" t="s">
        <v>17</v>
      </c>
      <c r="E8" s="18" t="s">
        <v>23</v>
      </c>
      <c r="F8" s="13">
        <v>10</v>
      </c>
      <c r="G8" s="13" t="s">
        <v>3</v>
      </c>
      <c r="H8" s="13" t="s">
        <v>20</v>
      </c>
      <c r="I8" s="16" t="s">
        <v>21</v>
      </c>
      <c r="J8" s="14"/>
      <c r="K8" s="14"/>
      <c r="L8" s="14"/>
      <c r="M8" s="13" t="s">
        <v>174</v>
      </c>
      <c r="N8" s="11"/>
      <c r="O8" s="34">
        <f>INDEX(desa!A:A,MATCH(B8,desa!B:B,0))</f>
        <v>1</v>
      </c>
      <c r="P8" s="7" t="s">
        <v>211</v>
      </c>
      <c r="Q8" s="34" t="str">
        <f t="shared" si="0"/>
        <v>('1;KUB Tari Pemendi;Madya;Abu Bakar M;10;-;Ikan Laut;Aktif;PERIKANAN'),</v>
      </c>
    </row>
    <row r="9" spans="1:17" ht="32" customHeight="1">
      <c r="A9" s="16">
        <v>6</v>
      </c>
      <c r="B9" s="17" t="s">
        <v>0</v>
      </c>
      <c r="C9" s="18" t="s">
        <v>178</v>
      </c>
      <c r="D9" s="13" t="s">
        <v>25</v>
      </c>
      <c r="E9" s="18" t="s">
        <v>24</v>
      </c>
      <c r="F9" s="13">
        <v>10</v>
      </c>
      <c r="G9" s="13"/>
      <c r="H9" s="13" t="s">
        <v>20</v>
      </c>
      <c r="I9" s="16" t="s">
        <v>21</v>
      </c>
      <c r="J9" s="13"/>
      <c r="K9" s="13"/>
      <c r="L9" s="13"/>
      <c r="M9" s="13" t="s">
        <v>174</v>
      </c>
      <c r="N9" s="11"/>
      <c r="O9" s="34">
        <f>INDEX(desa!A:A,MATCH(B9,desa!B:B,0))</f>
        <v>1</v>
      </c>
      <c r="P9" s="7" t="s">
        <v>211</v>
      </c>
      <c r="Q9" s="34" t="str">
        <f t="shared" si="0"/>
        <v>('1;KUB Balong Niat;Pemula;Hasbullah;10;;Ikan Laut;Aktif;PERIKANAN'),</v>
      </c>
    </row>
    <row r="10" spans="1:17" ht="32" customHeight="1">
      <c r="A10" s="16">
        <v>7</v>
      </c>
      <c r="B10" s="17" t="s">
        <v>0</v>
      </c>
      <c r="C10" s="18" t="s">
        <v>26</v>
      </c>
      <c r="D10" s="13" t="s">
        <v>25</v>
      </c>
      <c r="E10" s="18" t="s">
        <v>9</v>
      </c>
      <c r="F10" s="13">
        <v>10</v>
      </c>
      <c r="G10" s="13"/>
      <c r="H10" s="13" t="s">
        <v>20</v>
      </c>
      <c r="I10" s="16" t="s">
        <v>21</v>
      </c>
      <c r="J10" s="13"/>
      <c r="K10" s="13"/>
      <c r="L10" s="13"/>
      <c r="M10" s="13" t="s">
        <v>174</v>
      </c>
      <c r="N10" s="11"/>
      <c r="O10" s="34">
        <f>INDEX(desa!A:A,MATCH(B10,desa!B:B,0))</f>
        <v>1</v>
      </c>
      <c r="P10" s="7" t="s">
        <v>211</v>
      </c>
      <c r="Q10" s="34" t="str">
        <f t="shared" si="0"/>
        <v>('1;KUB Saling Pariri;Pemula;Burhanuddin;10;;Ikan Laut;Aktif;PERIKANAN'),</v>
      </c>
    </row>
    <row r="11" spans="1:17" ht="32" customHeight="1">
      <c r="A11" s="16">
        <v>8</v>
      </c>
      <c r="B11" s="17" t="s">
        <v>0</v>
      </c>
      <c r="C11" s="18" t="s">
        <v>33</v>
      </c>
      <c r="D11" s="13" t="s">
        <v>17</v>
      </c>
      <c r="E11" s="18" t="s">
        <v>34</v>
      </c>
      <c r="F11" s="13">
        <v>10</v>
      </c>
      <c r="G11" s="13" t="s">
        <v>35</v>
      </c>
      <c r="H11" s="13" t="s">
        <v>30</v>
      </c>
      <c r="I11" s="16" t="s">
        <v>31</v>
      </c>
      <c r="J11" s="14"/>
      <c r="K11" s="13" t="s">
        <v>32</v>
      </c>
      <c r="L11" s="13">
        <v>5000</v>
      </c>
      <c r="M11" s="13" t="s">
        <v>174</v>
      </c>
      <c r="N11" s="11"/>
      <c r="O11" s="34">
        <f>INDEX(desa!A:A,MATCH(B11,desa!B:B,0))</f>
        <v>1</v>
      </c>
      <c r="P11" s="7" t="s">
        <v>211</v>
      </c>
      <c r="Q11" s="34" t="str">
        <f t="shared" si="0"/>
        <v>('1;Pokdakan Sagena Bahari;Madya;Syarifuddin P;10;-8.580129, 116.816388;Rumput Laut;Aktif;PERIKANAN'),</v>
      </c>
    </row>
    <row r="12" spans="1:17" ht="32" customHeight="1">
      <c r="A12" s="16">
        <v>9</v>
      </c>
      <c r="B12" s="17" t="s">
        <v>0</v>
      </c>
      <c r="C12" s="18" t="s">
        <v>36</v>
      </c>
      <c r="D12" s="13" t="s">
        <v>25</v>
      </c>
      <c r="E12" s="18" t="s">
        <v>4</v>
      </c>
      <c r="F12" s="13">
        <v>9</v>
      </c>
      <c r="G12" s="13" t="s">
        <v>37</v>
      </c>
      <c r="H12" s="13" t="s">
        <v>30</v>
      </c>
      <c r="I12" s="13" t="s">
        <v>38</v>
      </c>
      <c r="J12" s="14"/>
      <c r="K12" s="13" t="s">
        <v>39</v>
      </c>
      <c r="L12" s="13">
        <v>5000</v>
      </c>
      <c r="M12" s="13" t="s">
        <v>174</v>
      </c>
      <c r="N12" s="11"/>
      <c r="O12" s="34">
        <f>INDEX(desa!A:A,MATCH(B12,desa!B:B,0))</f>
        <v>1</v>
      </c>
      <c r="P12" s="7" t="s">
        <v>211</v>
      </c>
      <c r="Q12" s="34" t="str">
        <f t="shared" si="0"/>
        <v>('1;Gapokkan Sagena Sejahtera;Pemula;Alfian;9;-8.580675, 116.813514;Rumput Laut, Kerapu, Bawal;Aktif;PERIKANAN'),</v>
      </c>
    </row>
    <row r="13" spans="1:17" ht="32" customHeight="1">
      <c r="A13" s="16">
        <v>10</v>
      </c>
      <c r="B13" s="17" t="s">
        <v>0</v>
      </c>
      <c r="C13" s="18" t="s">
        <v>40</v>
      </c>
      <c r="D13" s="13" t="s">
        <v>25</v>
      </c>
      <c r="E13" s="18" t="s">
        <v>11</v>
      </c>
      <c r="F13" s="13">
        <v>10</v>
      </c>
      <c r="G13" s="13" t="s">
        <v>41</v>
      </c>
      <c r="H13" s="13" t="s">
        <v>30</v>
      </c>
      <c r="I13" s="13" t="s">
        <v>42</v>
      </c>
      <c r="J13" s="14"/>
      <c r="K13" s="13" t="s">
        <v>39</v>
      </c>
      <c r="L13" s="13">
        <v>5000</v>
      </c>
      <c r="M13" s="13" t="s">
        <v>174</v>
      </c>
      <c r="N13" s="11"/>
      <c r="O13" s="34">
        <f>INDEX(desa!A:A,MATCH(B13,desa!B:B,0))</f>
        <v>1</v>
      </c>
      <c r="P13" s="7" t="s">
        <v>211</v>
      </c>
      <c r="Q13" s="34" t="str">
        <f t="shared" si="0"/>
        <v>('1;Pokdakan Pendi Jangi;Pemula;Basaruddin;10;-8.580901, 116.813304;Rumput Laut, Bawal, Kerapu;Aktif;PERIKANAN'),</v>
      </c>
    </row>
    <row r="14" spans="1:17" ht="32" customHeight="1">
      <c r="A14" s="16">
        <v>11</v>
      </c>
      <c r="B14" s="17" t="s">
        <v>0</v>
      </c>
      <c r="C14" s="18" t="s">
        <v>63</v>
      </c>
      <c r="D14" s="13" t="s">
        <v>25</v>
      </c>
      <c r="E14" s="18" t="s">
        <v>64</v>
      </c>
      <c r="F14" s="13">
        <v>10</v>
      </c>
      <c r="G14" s="13" t="s">
        <v>3</v>
      </c>
      <c r="H14" s="13" t="s">
        <v>65</v>
      </c>
      <c r="I14" s="16" t="s">
        <v>66</v>
      </c>
      <c r="J14" s="14"/>
      <c r="K14" s="13" t="s">
        <v>3</v>
      </c>
      <c r="L14" s="13" t="s">
        <v>3</v>
      </c>
      <c r="M14" s="13" t="s">
        <v>174</v>
      </c>
      <c r="N14" s="11"/>
      <c r="O14" s="34">
        <f>INDEX(desa!A:A,MATCH(B14,desa!B:B,0))</f>
        <v>1</v>
      </c>
      <c r="P14" s="7" t="s">
        <v>211</v>
      </c>
      <c r="Q14" s="34" t="str">
        <f t="shared" si="0"/>
        <v>('1;Poklahsar Karya Makmur;Pemula;Ninik Lestari;10;-;Ikan;Aktif;PERIKANAN'),</v>
      </c>
    </row>
    <row r="15" spans="1:17" ht="41" customHeight="1">
      <c r="A15" s="16">
        <v>12</v>
      </c>
      <c r="B15" s="17" t="s">
        <v>0</v>
      </c>
      <c r="C15" s="18" t="s">
        <v>72</v>
      </c>
      <c r="D15" s="13" t="s">
        <v>25</v>
      </c>
      <c r="E15" s="18" t="s">
        <v>4</v>
      </c>
      <c r="F15" s="13">
        <v>20</v>
      </c>
      <c r="G15" s="13" t="s">
        <v>3</v>
      </c>
      <c r="H15" s="13" t="s">
        <v>73</v>
      </c>
      <c r="I15" s="16" t="s">
        <v>74</v>
      </c>
      <c r="J15" s="14"/>
      <c r="K15" s="13" t="s">
        <v>3</v>
      </c>
      <c r="L15" s="13" t="s">
        <v>3</v>
      </c>
      <c r="M15" s="13" t="s">
        <v>174</v>
      </c>
      <c r="N15" s="11"/>
      <c r="O15" s="34">
        <f>INDEX(desa!A:A,MATCH(B15,desa!B:B,0))</f>
        <v>1</v>
      </c>
      <c r="P15" s="7" t="s">
        <v>211</v>
      </c>
      <c r="Q15" s="34" t="str">
        <f t="shared" si="0"/>
        <v>('1;Koperasi Serba Usaha Sagena Mandiri Sejahtera;Pemula;Alfian;20;-;Rumput laut dan ikan;Aktif;PERIKANAN'),</v>
      </c>
    </row>
    <row r="16" spans="1:17" ht="32" customHeight="1">
      <c r="A16" s="16">
        <v>13</v>
      </c>
      <c r="B16" s="17" t="s">
        <v>0</v>
      </c>
      <c r="C16" s="18" t="s">
        <v>108</v>
      </c>
      <c r="D16" s="16" t="s">
        <v>25</v>
      </c>
      <c r="E16" s="18" t="s">
        <v>109</v>
      </c>
      <c r="F16" s="13">
        <v>10</v>
      </c>
      <c r="G16" s="13" t="s">
        <v>110</v>
      </c>
      <c r="H16" s="13" t="s">
        <v>20</v>
      </c>
      <c r="I16" s="16" t="s">
        <v>62</v>
      </c>
      <c r="J16" s="14"/>
      <c r="K16" s="14"/>
      <c r="L16" s="14"/>
      <c r="M16" s="13" t="s">
        <v>174</v>
      </c>
      <c r="N16" s="11"/>
      <c r="O16" s="34">
        <f>INDEX(desa!A:A,MATCH(B16,desa!B:B,0))</f>
        <v>1</v>
      </c>
      <c r="P16" s="7" t="s">
        <v>211</v>
      </c>
      <c r="Q16" s="34" t="str">
        <f t="shared" si="0"/>
        <v>('1;Sinar Bahari;Pemula;Saripuddin;10;-8.581327, 116.832145;Ikan laut;Aktif;PERIKANAN'),</v>
      </c>
    </row>
    <row r="17" spans="1:17" ht="32" customHeight="1">
      <c r="A17" s="16">
        <v>14</v>
      </c>
      <c r="B17" s="17" t="s">
        <v>19</v>
      </c>
      <c r="C17" s="18" t="s">
        <v>59</v>
      </c>
      <c r="D17" s="13" t="s">
        <v>17</v>
      </c>
      <c r="E17" s="18" t="s">
        <v>60</v>
      </c>
      <c r="F17" s="13">
        <v>10</v>
      </c>
      <c r="G17" s="13" t="s">
        <v>61</v>
      </c>
      <c r="H17" s="13" t="s">
        <v>20</v>
      </c>
      <c r="I17" s="16" t="s">
        <v>62</v>
      </c>
      <c r="J17" s="14"/>
      <c r="K17" s="13" t="s">
        <v>3</v>
      </c>
      <c r="L17" s="13" t="s">
        <v>3</v>
      </c>
      <c r="M17" s="13" t="s">
        <v>174</v>
      </c>
      <c r="N17" s="11"/>
      <c r="O17" s="34">
        <f>INDEX(desa!A:A,MATCH(B17,desa!B:B,0))</f>
        <v>4</v>
      </c>
      <c r="P17" s="7" t="s">
        <v>211</v>
      </c>
      <c r="Q17" s="34" t="str">
        <f t="shared" si="0"/>
        <v>('4;KUB. Usaha Mandiri;Madya;Margauddin;10;-8.528424, 116.832260;Ikan laut;Aktif;PERIKANAN'),</v>
      </c>
    </row>
    <row r="18" spans="1:17" ht="32" customHeight="1">
      <c r="A18" s="16">
        <v>15</v>
      </c>
      <c r="B18" s="19" t="s">
        <v>19</v>
      </c>
      <c r="C18" s="20" t="s">
        <v>75</v>
      </c>
      <c r="D18" s="16" t="s">
        <v>25</v>
      </c>
      <c r="E18" s="20" t="s">
        <v>76</v>
      </c>
      <c r="F18" s="16">
        <v>10</v>
      </c>
      <c r="G18" s="16" t="s">
        <v>77</v>
      </c>
      <c r="H18" s="16" t="s">
        <v>20</v>
      </c>
      <c r="I18" s="16" t="s">
        <v>62</v>
      </c>
      <c r="J18" s="14"/>
      <c r="K18" s="14"/>
      <c r="L18" s="14"/>
      <c r="M18" s="13" t="s">
        <v>174</v>
      </c>
      <c r="N18" s="11"/>
      <c r="O18" s="34">
        <f>INDEX(desa!A:A,MATCH(B18,desa!B:B,0))</f>
        <v>4</v>
      </c>
      <c r="P18" s="7" t="s">
        <v>211</v>
      </c>
      <c r="Q18" s="34" t="str">
        <f t="shared" si="0"/>
        <v>('4;KUB Kakap Merah;Pemula;Najamuddin;10;-8. 530699, 116. 832078;Ikan laut;Aktif;PERIKANAN'),</v>
      </c>
    </row>
    <row r="19" spans="1:17" ht="32" customHeight="1">
      <c r="A19" s="16">
        <v>16</v>
      </c>
      <c r="B19" s="19" t="s">
        <v>19</v>
      </c>
      <c r="C19" s="20" t="s">
        <v>78</v>
      </c>
      <c r="D19" s="16" t="s">
        <v>25</v>
      </c>
      <c r="E19" s="20" t="s">
        <v>79</v>
      </c>
      <c r="F19" s="16">
        <v>10</v>
      </c>
      <c r="G19" s="16" t="s">
        <v>80</v>
      </c>
      <c r="H19" s="16" t="s">
        <v>20</v>
      </c>
      <c r="I19" s="16" t="s">
        <v>62</v>
      </c>
      <c r="J19" s="14"/>
      <c r="K19" s="14"/>
      <c r="L19" s="14"/>
      <c r="M19" s="13" t="s">
        <v>174</v>
      </c>
      <c r="N19" s="11"/>
      <c r="O19" s="34">
        <f>INDEX(desa!A:A,MATCH(B19,desa!B:B,0))</f>
        <v>4</v>
      </c>
      <c r="P19" s="7" t="s">
        <v>211</v>
      </c>
      <c r="Q19" s="34" t="str">
        <f t="shared" si="0"/>
        <v>('4;KUB Kuda Laut;Pemula;Kamaruddin B;10;-8. 530619, 116. 833139;Ikan laut;Aktif;PERIKANAN'),</v>
      </c>
    </row>
    <row r="20" spans="1:17" ht="32" customHeight="1">
      <c r="A20" s="16">
        <v>17</v>
      </c>
      <c r="B20" s="19" t="s">
        <v>19</v>
      </c>
      <c r="C20" s="20" t="s">
        <v>81</v>
      </c>
      <c r="D20" s="16" t="s">
        <v>25</v>
      </c>
      <c r="E20" s="20" t="s">
        <v>82</v>
      </c>
      <c r="F20" s="16">
        <v>10</v>
      </c>
      <c r="G20" s="16" t="s">
        <v>83</v>
      </c>
      <c r="H20" s="16" t="s">
        <v>20</v>
      </c>
      <c r="I20" s="16" t="s">
        <v>62</v>
      </c>
      <c r="J20" s="14"/>
      <c r="K20" s="14"/>
      <c r="L20" s="14"/>
      <c r="M20" s="13" t="s">
        <v>174</v>
      </c>
      <c r="N20" s="11"/>
      <c r="O20" s="34">
        <f>INDEX(desa!A:A,MATCH(B20,desa!B:B,0))</f>
        <v>4</v>
      </c>
      <c r="P20" s="7" t="s">
        <v>211</v>
      </c>
      <c r="Q20" s="34" t="str">
        <f t="shared" si="0"/>
        <v>('4;KUB. Baci Lestari;Pemula;Madahu;10;-8. 528489, 116. 831742;Ikan laut;Aktif;PERIKANAN'),</v>
      </c>
    </row>
    <row r="21" spans="1:17" ht="32" customHeight="1">
      <c r="A21" s="16">
        <v>18</v>
      </c>
      <c r="B21" s="19" t="s">
        <v>19</v>
      </c>
      <c r="C21" s="20" t="s">
        <v>84</v>
      </c>
      <c r="D21" s="16" t="s">
        <v>25</v>
      </c>
      <c r="E21" s="20" t="s">
        <v>85</v>
      </c>
      <c r="F21" s="16">
        <v>10</v>
      </c>
      <c r="G21" s="16" t="s">
        <v>86</v>
      </c>
      <c r="H21" s="16" t="s">
        <v>20</v>
      </c>
      <c r="I21" s="16" t="s">
        <v>62</v>
      </c>
      <c r="J21" s="14"/>
      <c r="K21" s="14"/>
      <c r="L21" s="14"/>
      <c r="M21" s="13" t="s">
        <v>174</v>
      </c>
      <c r="N21" s="11"/>
      <c r="O21" s="34">
        <f>INDEX(desa!A:A,MATCH(B21,desa!B:B,0))</f>
        <v>4</v>
      </c>
      <c r="P21" s="7" t="s">
        <v>211</v>
      </c>
      <c r="Q21" s="34" t="str">
        <f t="shared" si="0"/>
        <v>('4;KUB. Bahari Abadi;Pemula;Marzuki;10;-8. 528265, 116. 832133;Ikan laut;Aktif;PERIKANAN'),</v>
      </c>
    </row>
    <row r="22" spans="1:17" ht="32" customHeight="1">
      <c r="A22" s="16">
        <v>19</v>
      </c>
      <c r="B22" s="19" t="s">
        <v>19</v>
      </c>
      <c r="C22" s="20" t="s">
        <v>87</v>
      </c>
      <c r="D22" s="16" t="s">
        <v>25</v>
      </c>
      <c r="E22" s="20" t="s">
        <v>88</v>
      </c>
      <c r="F22" s="16">
        <v>10</v>
      </c>
      <c r="G22" s="13" t="s">
        <v>89</v>
      </c>
      <c r="H22" s="16" t="s">
        <v>20</v>
      </c>
      <c r="I22" s="16" t="s">
        <v>62</v>
      </c>
      <c r="J22" s="14"/>
      <c r="K22" s="14"/>
      <c r="L22" s="14"/>
      <c r="M22" s="13" t="s">
        <v>174</v>
      </c>
      <c r="N22" s="11"/>
      <c r="O22" s="34">
        <f>INDEX(desa!A:A,MATCH(B22,desa!B:B,0))</f>
        <v>4</v>
      </c>
      <c r="P22" s="7" t="s">
        <v>211</v>
      </c>
      <c r="Q22" s="34" t="str">
        <f t="shared" si="0"/>
        <v>('4;KUB. Citra Bahari;Pemula;Mansaha;10;-8.529516, 116.831766;Ikan laut;Aktif;PERIKANAN'),</v>
      </c>
    </row>
    <row r="23" spans="1:17" ht="32" customHeight="1">
      <c r="A23" s="16">
        <v>20</v>
      </c>
      <c r="B23" s="19" t="s">
        <v>19</v>
      </c>
      <c r="C23" s="20" t="s">
        <v>90</v>
      </c>
      <c r="D23" s="16" t="s">
        <v>25</v>
      </c>
      <c r="E23" s="20" t="s">
        <v>91</v>
      </c>
      <c r="F23" s="16">
        <v>10</v>
      </c>
      <c r="G23" s="16" t="s">
        <v>92</v>
      </c>
      <c r="H23" s="16" t="s">
        <v>20</v>
      </c>
      <c r="I23" s="16" t="s">
        <v>62</v>
      </c>
      <c r="J23" s="14"/>
      <c r="K23" s="14"/>
      <c r="L23" s="14"/>
      <c r="M23" s="13" t="s">
        <v>174</v>
      </c>
      <c r="N23" s="11"/>
      <c r="O23" s="34">
        <f>INDEX(desa!A:A,MATCH(B23,desa!B:B,0))</f>
        <v>4</v>
      </c>
      <c r="P23" s="7" t="s">
        <v>211</v>
      </c>
      <c r="Q23" s="34" t="str">
        <f t="shared" si="0"/>
        <v>('4;KUB.Laut Biru;Pemula;Suharli;10;-8. 527658, 116. 832237;Ikan laut;Aktif;PERIKANAN'),</v>
      </c>
    </row>
    <row r="24" spans="1:17" ht="32" customHeight="1">
      <c r="A24" s="16">
        <v>21</v>
      </c>
      <c r="B24" s="19" t="s">
        <v>19</v>
      </c>
      <c r="C24" s="20" t="s">
        <v>93</v>
      </c>
      <c r="D24" s="16" t="s">
        <v>25</v>
      </c>
      <c r="E24" s="20" t="s">
        <v>94</v>
      </c>
      <c r="F24" s="16">
        <v>10</v>
      </c>
      <c r="G24" s="16" t="s">
        <v>95</v>
      </c>
      <c r="H24" s="16" t="s">
        <v>20</v>
      </c>
      <c r="I24" s="16" t="s">
        <v>62</v>
      </c>
      <c r="J24" s="14"/>
      <c r="K24" s="14"/>
      <c r="L24" s="14"/>
      <c r="M24" s="13" t="s">
        <v>174</v>
      </c>
      <c r="N24" s="11"/>
      <c r="O24" s="34">
        <f>INDEX(desa!A:A,MATCH(B24,desa!B:B,0))</f>
        <v>4</v>
      </c>
      <c r="P24" s="7" t="s">
        <v>211</v>
      </c>
      <c r="Q24" s="34" t="str">
        <f t="shared" si="0"/>
        <v>('4;KUB. Maju Indah;Pemula;Manaku;10;-8. 529558, 116. 832728;Ikan laut;Aktif;PERIKANAN'),</v>
      </c>
    </row>
    <row r="25" spans="1:17" ht="32" customHeight="1">
      <c r="A25" s="16">
        <v>22</v>
      </c>
      <c r="B25" s="19" t="s">
        <v>19</v>
      </c>
      <c r="C25" s="20" t="s">
        <v>96</v>
      </c>
      <c r="D25" s="16" t="s">
        <v>25</v>
      </c>
      <c r="E25" s="20" t="s">
        <v>97</v>
      </c>
      <c r="F25" s="16">
        <v>10</v>
      </c>
      <c r="G25" s="16" t="s">
        <v>98</v>
      </c>
      <c r="H25" s="16" t="s">
        <v>20</v>
      </c>
      <c r="I25" s="16" t="s">
        <v>62</v>
      </c>
      <c r="J25" s="14"/>
      <c r="K25" s="14"/>
      <c r="L25" s="14"/>
      <c r="M25" s="13" t="s">
        <v>174</v>
      </c>
      <c r="N25" s="11"/>
      <c r="O25" s="34">
        <f>INDEX(desa!A:A,MATCH(B25,desa!B:B,0))</f>
        <v>4</v>
      </c>
      <c r="P25" s="7" t="s">
        <v>211</v>
      </c>
      <c r="Q25" s="34" t="str">
        <f t="shared" si="0"/>
        <v>('4;KUB. Napoleon;Pemula;Agustino;10;-8. 527828, 116. 832348;Ikan laut;Aktif;PERIKANAN'),</v>
      </c>
    </row>
    <row r="26" spans="1:17" ht="32" customHeight="1">
      <c r="A26" s="16">
        <v>23</v>
      </c>
      <c r="B26" s="19" t="s">
        <v>19</v>
      </c>
      <c r="C26" s="20" t="s">
        <v>99</v>
      </c>
      <c r="D26" s="16" t="s">
        <v>25</v>
      </c>
      <c r="E26" s="20" t="s">
        <v>100</v>
      </c>
      <c r="F26" s="16">
        <v>10</v>
      </c>
      <c r="G26" s="16" t="s">
        <v>101</v>
      </c>
      <c r="H26" s="16" t="s">
        <v>20</v>
      </c>
      <c r="I26" s="16" t="s">
        <v>62</v>
      </c>
      <c r="J26" s="14"/>
      <c r="K26" s="14"/>
      <c r="L26" s="14"/>
      <c r="M26" s="13" t="s">
        <v>174</v>
      </c>
      <c r="N26" s="11"/>
      <c r="O26" s="34">
        <f>INDEX(desa!A:A,MATCH(B26,desa!B:B,0))</f>
        <v>4</v>
      </c>
      <c r="P26" s="7" t="s">
        <v>211</v>
      </c>
      <c r="Q26" s="34" t="str">
        <f t="shared" si="0"/>
        <v>('4;KUB. Pembaharuan;Pemula;Sudirman;10;-8. 526633, 116. 831693;Ikan laut;Aktif;PERIKANAN'),</v>
      </c>
    </row>
    <row r="27" spans="1:17" ht="32" customHeight="1">
      <c r="A27" s="16">
        <v>24</v>
      </c>
      <c r="B27" s="19" t="s">
        <v>19</v>
      </c>
      <c r="C27" s="20" t="s">
        <v>102</v>
      </c>
      <c r="D27" s="16" t="s">
        <v>25</v>
      </c>
      <c r="E27" s="20" t="s">
        <v>103</v>
      </c>
      <c r="F27" s="16">
        <v>10</v>
      </c>
      <c r="G27" s="16" t="s">
        <v>104</v>
      </c>
      <c r="H27" s="16" t="s">
        <v>20</v>
      </c>
      <c r="I27" s="16" t="s">
        <v>62</v>
      </c>
      <c r="J27" s="14"/>
      <c r="K27" s="14"/>
      <c r="L27" s="14"/>
      <c r="M27" s="13" t="s">
        <v>174</v>
      </c>
      <c r="N27" s="11"/>
      <c r="O27" s="34">
        <f>INDEX(desa!A:A,MATCH(B27,desa!B:B,0))</f>
        <v>4</v>
      </c>
      <c r="P27" s="7" t="s">
        <v>211</v>
      </c>
      <c r="Q27" s="34" t="str">
        <f t="shared" si="0"/>
        <v>('4;KUB. Perubahan;Pemula;Manajai;10;-8.527303, 116. 831851;Ikan laut;Aktif;PERIKANAN'),</v>
      </c>
    </row>
    <row r="28" spans="1:17" ht="32" customHeight="1">
      <c r="A28" s="16">
        <v>25</v>
      </c>
      <c r="B28" s="19" t="s">
        <v>19</v>
      </c>
      <c r="C28" s="20" t="s">
        <v>105</v>
      </c>
      <c r="D28" s="16" t="s">
        <v>25</v>
      </c>
      <c r="E28" s="20" t="s">
        <v>106</v>
      </c>
      <c r="F28" s="16">
        <v>10</v>
      </c>
      <c r="G28" s="16" t="s">
        <v>107</v>
      </c>
      <c r="H28" s="16" t="s">
        <v>20</v>
      </c>
      <c r="I28" s="16" t="s">
        <v>62</v>
      </c>
      <c r="J28" s="14"/>
      <c r="K28" s="14"/>
      <c r="L28" s="14"/>
      <c r="M28" s="13" t="s">
        <v>174</v>
      </c>
      <c r="N28" s="11"/>
      <c r="O28" s="34">
        <f>INDEX(desa!A:A,MATCH(B28,desa!B:B,0))</f>
        <v>4</v>
      </c>
      <c r="P28" s="7" t="s">
        <v>211</v>
      </c>
      <c r="Q28" s="34" t="str">
        <f t="shared" si="0"/>
        <v>('4;KUB. Sikase – Ase;Pemula;Samarollah;10;-8.52883,  116. 832399;Ikan laut;Aktif;PERIKANAN'),</v>
      </c>
    </row>
    <row r="29" spans="1:17" ht="32" customHeight="1">
      <c r="A29" s="16">
        <v>26</v>
      </c>
      <c r="B29" s="17" t="s">
        <v>114</v>
      </c>
      <c r="C29" s="18" t="s">
        <v>111</v>
      </c>
      <c r="D29" s="16" t="s">
        <v>25</v>
      </c>
      <c r="E29" s="18" t="s">
        <v>112</v>
      </c>
      <c r="F29" s="13">
        <v>10</v>
      </c>
      <c r="G29" s="13" t="s">
        <v>113</v>
      </c>
      <c r="H29" s="13" t="s">
        <v>115</v>
      </c>
      <c r="I29" s="16" t="s">
        <v>116</v>
      </c>
      <c r="J29" s="14"/>
      <c r="K29" s="14"/>
      <c r="L29" s="14"/>
      <c r="M29" s="13" t="s">
        <v>174</v>
      </c>
      <c r="N29" s="11"/>
      <c r="O29" s="34">
        <f>INDEX(desa!A:A,MATCH(B29,desa!B:B,0))</f>
        <v>4</v>
      </c>
      <c r="P29" s="7" t="s">
        <v>211</v>
      </c>
      <c r="Q29" s="34" t="str">
        <f t="shared" si="0"/>
        <v>('4;Tano Jaya;Pemula;Hadijah;10;-8.5277940, 116.832145;Abon Ikan;Aktif;PERIKANAN'),</v>
      </c>
    </row>
    <row r="30" spans="1:17" ht="32" customHeight="1">
      <c r="A30" s="16">
        <v>27</v>
      </c>
      <c r="B30" s="17" t="s">
        <v>19</v>
      </c>
      <c r="C30" s="18" t="s">
        <v>141</v>
      </c>
      <c r="D30" s="13" t="s">
        <v>25</v>
      </c>
      <c r="E30" s="18" t="s">
        <v>142</v>
      </c>
      <c r="F30" s="13">
        <v>15</v>
      </c>
      <c r="G30" s="13" t="s">
        <v>3</v>
      </c>
      <c r="H30" s="13" t="s">
        <v>20</v>
      </c>
      <c r="I30" s="16" t="s">
        <v>21</v>
      </c>
      <c r="J30" s="13" t="s">
        <v>3</v>
      </c>
      <c r="K30" s="13" t="s">
        <v>3</v>
      </c>
      <c r="L30" s="13" t="s">
        <v>3</v>
      </c>
      <c r="M30" s="13" t="s">
        <v>174</v>
      </c>
      <c r="N30" s="11"/>
      <c r="O30" s="34">
        <f>INDEX(desa!A:A,MATCH(B30,desa!B:B,0))</f>
        <v>4</v>
      </c>
      <c r="P30" s="7" t="s">
        <v>211</v>
      </c>
      <c r="Q30" s="34" t="str">
        <f t="shared" si="0"/>
        <v>('4;KUB Pelita Poto Tano;Pemula;Mahari;15;-;Ikan Laut;Aktif;PERIKANAN'),</v>
      </c>
    </row>
    <row r="31" spans="1:17" ht="32" customHeight="1">
      <c r="A31" s="16">
        <v>28</v>
      </c>
      <c r="B31" s="17" t="s">
        <v>19</v>
      </c>
      <c r="C31" s="18" t="s">
        <v>143</v>
      </c>
      <c r="D31" s="13" t="s">
        <v>25</v>
      </c>
      <c r="E31" s="18" t="s">
        <v>144</v>
      </c>
      <c r="F31" s="13">
        <v>17</v>
      </c>
      <c r="G31" s="13" t="s">
        <v>3</v>
      </c>
      <c r="H31" s="13" t="s">
        <v>20</v>
      </c>
      <c r="I31" s="16" t="s">
        <v>21</v>
      </c>
      <c r="J31" s="13" t="s">
        <v>3</v>
      </c>
      <c r="K31" s="13" t="s">
        <v>3</v>
      </c>
      <c r="L31" s="13" t="s">
        <v>3</v>
      </c>
      <c r="M31" s="13" t="s">
        <v>174</v>
      </c>
      <c r="N31" s="11"/>
      <c r="O31" s="34">
        <f>INDEX(desa!A:A,MATCH(B31,desa!B:B,0))</f>
        <v>4</v>
      </c>
      <c r="P31" s="7" t="s">
        <v>211</v>
      </c>
      <c r="Q31" s="34" t="str">
        <f t="shared" si="0"/>
        <v>('4;KUB Jaring Maero;Pemula;Mustar;17;-;Ikan Laut;Aktif;PERIKANAN'),</v>
      </c>
    </row>
    <row r="32" spans="1:17" ht="32" customHeight="1">
      <c r="A32" s="16">
        <v>29</v>
      </c>
      <c r="B32" s="17" t="s">
        <v>19</v>
      </c>
      <c r="C32" s="18" t="s">
        <v>145</v>
      </c>
      <c r="D32" s="13" t="s">
        <v>25</v>
      </c>
      <c r="E32" s="18" t="s">
        <v>8</v>
      </c>
      <c r="F32" s="13">
        <v>10</v>
      </c>
      <c r="G32" s="13" t="s">
        <v>3</v>
      </c>
      <c r="H32" s="13" t="s">
        <v>65</v>
      </c>
      <c r="I32" s="16" t="s">
        <v>21</v>
      </c>
      <c r="J32" s="13" t="s">
        <v>3</v>
      </c>
      <c r="K32" s="13" t="s">
        <v>3</v>
      </c>
      <c r="L32" s="13" t="s">
        <v>3</v>
      </c>
      <c r="M32" s="13" t="s">
        <v>174</v>
      </c>
      <c r="N32" s="11"/>
      <c r="O32" s="34">
        <f>INDEX(desa!A:A,MATCH(B32,desa!B:B,0))</f>
        <v>4</v>
      </c>
      <c r="P32" s="7" t="s">
        <v>211</v>
      </c>
      <c r="Q32" s="34" t="str">
        <f t="shared" si="0"/>
        <v>('4;Poklahsar Persatuan Pasir Putih;Pemula;Yuliana;10;-;Ikan Laut;Aktif;PERIKANAN'),</v>
      </c>
    </row>
    <row r="33" spans="1:17" ht="32" customHeight="1">
      <c r="A33" s="16">
        <v>30</v>
      </c>
      <c r="B33" s="17" t="s">
        <v>131</v>
      </c>
      <c r="C33" s="18" t="s">
        <v>128</v>
      </c>
      <c r="D33" s="16" t="s">
        <v>25</v>
      </c>
      <c r="E33" s="18" t="s">
        <v>129</v>
      </c>
      <c r="F33" s="13">
        <v>10</v>
      </c>
      <c r="G33" s="13" t="s">
        <v>130</v>
      </c>
      <c r="H33" s="13" t="s">
        <v>30</v>
      </c>
      <c r="I33" s="16" t="s">
        <v>126</v>
      </c>
      <c r="J33" s="13" t="s">
        <v>132</v>
      </c>
      <c r="K33" s="13" t="s">
        <v>133</v>
      </c>
      <c r="L33" s="13">
        <v>131</v>
      </c>
      <c r="M33" s="13" t="s">
        <v>174</v>
      </c>
      <c r="N33" s="11"/>
      <c r="O33" s="34">
        <f>INDEX(desa!A:A,MATCH(B33,desa!B:B,0))</f>
        <v>6</v>
      </c>
      <c r="P33" s="7" t="s">
        <v>211</v>
      </c>
      <c r="Q33" s="34" t="str">
        <f t="shared" si="0"/>
        <v>('6;Pemuda Perubahan;Pemula;Saepul Haq;10;-8.564049, 116.842005;Nila;Aktif;PERIKANAN'),</v>
      </c>
    </row>
    <row r="34" spans="1:17" ht="32" customHeight="1">
      <c r="A34" s="16">
        <v>31</v>
      </c>
      <c r="B34" s="17" t="s">
        <v>131</v>
      </c>
      <c r="C34" s="20" t="s">
        <v>134</v>
      </c>
      <c r="D34" s="16" t="s">
        <v>25</v>
      </c>
      <c r="E34" s="20" t="s">
        <v>135</v>
      </c>
      <c r="F34" s="16">
        <v>10</v>
      </c>
      <c r="G34" s="16" t="s">
        <v>136</v>
      </c>
      <c r="H34" s="16" t="s">
        <v>20</v>
      </c>
      <c r="I34" s="16" t="s">
        <v>21</v>
      </c>
      <c r="J34" s="14"/>
      <c r="K34" s="14"/>
      <c r="L34" s="14"/>
      <c r="M34" s="13" t="s">
        <v>174</v>
      </c>
      <c r="N34" s="11"/>
      <c r="O34" s="34">
        <f>INDEX(desa!A:A,MATCH(B34,desa!B:B,0))</f>
        <v>6</v>
      </c>
      <c r="P34" s="7" t="s">
        <v>211</v>
      </c>
      <c r="Q34" s="34" t="str">
        <f t="shared" si="0"/>
        <v>('6;KUB Plasma;Pemula;Margana;10;-8.567836, 118.842697;Ikan Laut;Aktif;PERIKANAN'),</v>
      </c>
    </row>
    <row r="35" spans="1:17" ht="32" customHeight="1">
      <c r="A35" s="16">
        <v>32</v>
      </c>
      <c r="B35" s="17" t="s">
        <v>46</v>
      </c>
      <c r="C35" s="18" t="s">
        <v>43</v>
      </c>
      <c r="D35" s="13" t="s">
        <v>17</v>
      </c>
      <c r="E35" s="18" t="s">
        <v>44</v>
      </c>
      <c r="F35" s="13">
        <v>10</v>
      </c>
      <c r="G35" s="13" t="s">
        <v>45</v>
      </c>
      <c r="H35" s="13" t="s">
        <v>30</v>
      </c>
      <c r="I35" s="16" t="s">
        <v>31</v>
      </c>
      <c r="J35" s="14"/>
      <c r="K35" s="13" t="s">
        <v>32</v>
      </c>
      <c r="L35" s="13">
        <v>5000</v>
      </c>
      <c r="M35" s="13" t="s">
        <v>174</v>
      </c>
      <c r="N35" s="11"/>
      <c r="O35" s="34">
        <f>INDEX(desa!A:A,MATCH(B35,desa!B:B,0))</f>
        <v>2</v>
      </c>
      <c r="P35" s="7" t="s">
        <v>211</v>
      </c>
      <c r="Q35" s="34" t="str">
        <f t="shared" si="0"/>
        <v>('2;Pokdakan Sekar Bahari;Madya;Ibnul Irsal;10;-8.538898, 116.856802;Rumput Laut;Aktif;PERIKANAN'),</v>
      </c>
    </row>
    <row r="36" spans="1:17" ht="32" customHeight="1">
      <c r="A36" s="16">
        <v>33</v>
      </c>
      <c r="B36" s="17" t="s">
        <v>46</v>
      </c>
      <c r="C36" s="18" t="s">
        <v>47</v>
      </c>
      <c r="D36" s="13" t="s">
        <v>17</v>
      </c>
      <c r="E36" s="18" t="s">
        <v>48</v>
      </c>
      <c r="F36" s="13">
        <v>10</v>
      </c>
      <c r="G36" s="13" t="s">
        <v>49</v>
      </c>
      <c r="H36" s="13" t="s">
        <v>30</v>
      </c>
      <c r="I36" s="16" t="s">
        <v>31</v>
      </c>
      <c r="J36" s="14"/>
      <c r="K36" s="13" t="s">
        <v>32</v>
      </c>
      <c r="L36" s="13">
        <v>5000</v>
      </c>
      <c r="M36" s="13" t="s">
        <v>174</v>
      </c>
      <c r="N36" s="11"/>
      <c r="O36" s="34">
        <f>INDEX(desa!A:A,MATCH(B36,desa!B:B,0))</f>
        <v>2</v>
      </c>
      <c r="P36" s="7" t="s">
        <v>211</v>
      </c>
      <c r="Q36" s="34" t="str">
        <f t="shared" si="0"/>
        <v>('2;Pokdakan Samudera;Madya;Muhammad Rojik;10;-8.538903, 116.856037;Rumput Laut;Aktif;PERIKANAN'),</v>
      </c>
    </row>
    <row r="37" spans="1:17" ht="37.5" customHeight="1">
      <c r="A37" s="16">
        <v>34</v>
      </c>
      <c r="B37" s="17" t="s">
        <v>119</v>
      </c>
      <c r="C37" s="18" t="s">
        <v>117</v>
      </c>
      <c r="D37" s="16" t="s">
        <v>25</v>
      </c>
      <c r="E37" s="18" t="s">
        <v>5</v>
      </c>
      <c r="F37" s="13">
        <v>9</v>
      </c>
      <c r="G37" s="13" t="s">
        <v>118</v>
      </c>
      <c r="H37" s="13" t="s">
        <v>30</v>
      </c>
      <c r="I37" s="16" t="s">
        <v>120</v>
      </c>
      <c r="J37" s="13" t="s">
        <v>121</v>
      </c>
      <c r="K37" s="13" t="s">
        <v>122</v>
      </c>
      <c r="L37" s="13">
        <v>1185</v>
      </c>
      <c r="M37" s="13" t="s">
        <v>174</v>
      </c>
      <c r="N37" s="11"/>
      <c r="O37" s="34">
        <f>INDEX(desa!A:A,MATCH(B37,desa!B:B,0))</f>
        <v>7</v>
      </c>
      <c r="P37" s="7" t="s">
        <v>211</v>
      </c>
      <c r="Q37" s="34" t="str">
        <f t="shared" si="0"/>
        <v>('7;Penyare;Pemula;Syarifuddin;9;-8.608167, 116.860619;Nila, karper;Aktif;PERIKANAN'),</v>
      </c>
    </row>
    <row r="38" spans="1:17" ht="32" customHeight="1">
      <c r="A38" s="16">
        <v>35</v>
      </c>
      <c r="B38" s="17" t="s">
        <v>51</v>
      </c>
      <c r="C38" s="18" t="s">
        <v>50</v>
      </c>
      <c r="D38" s="13" t="s">
        <v>25</v>
      </c>
      <c r="E38" s="18" t="s">
        <v>7</v>
      </c>
      <c r="F38" s="13">
        <v>11</v>
      </c>
      <c r="G38" s="13" t="s">
        <v>3</v>
      </c>
      <c r="H38" s="13" t="s">
        <v>30</v>
      </c>
      <c r="I38" s="16" t="s">
        <v>31</v>
      </c>
      <c r="J38" s="14"/>
      <c r="K38" s="13" t="s">
        <v>52</v>
      </c>
      <c r="L38" s="13">
        <v>6.6</v>
      </c>
      <c r="M38" s="13" t="s">
        <v>174</v>
      </c>
      <c r="N38" s="11"/>
      <c r="O38" s="34">
        <f>INDEX(desa!A:A,MATCH(B38,desa!B:B,0))</f>
        <v>8</v>
      </c>
      <c r="P38" s="7" t="s">
        <v>211</v>
      </c>
      <c r="Q38" s="34" t="str">
        <f t="shared" si="0"/>
        <v>('8;Pokdakan Bangka Bella;Pemula;Samsuddin;11;-;Rumput Laut;Aktif;PERIKANAN'),</v>
      </c>
    </row>
    <row r="39" spans="1:17" ht="32" customHeight="1">
      <c r="A39" s="16">
        <v>36</v>
      </c>
      <c r="B39" s="17" t="s">
        <v>51</v>
      </c>
      <c r="C39" s="18" t="s">
        <v>53</v>
      </c>
      <c r="D39" s="13" t="s">
        <v>25</v>
      </c>
      <c r="E39" s="18" t="s">
        <v>54</v>
      </c>
      <c r="F39" s="13">
        <v>11</v>
      </c>
      <c r="G39" s="13" t="s">
        <v>55</v>
      </c>
      <c r="H39" s="13" t="s">
        <v>30</v>
      </c>
      <c r="I39" s="16" t="s">
        <v>31</v>
      </c>
      <c r="J39" s="14"/>
      <c r="K39" s="13" t="s">
        <v>52</v>
      </c>
      <c r="L39" s="13">
        <v>6.6</v>
      </c>
      <c r="M39" s="13" t="s">
        <v>174</v>
      </c>
      <c r="N39" s="11"/>
      <c r="O39" s="34">
        <f>INDEX(desa!A:A,MATCH(B39,desa!B:B,0))</f>
        <v>8</v>
      </c>
      <c r="P39" s="7" t="s">
        <v>211</v>
      </c>
      <c r="Q39" s="34" t="str">
        <f t="shared" si="0"/>
        <v>('8;Pokdakan Bukit Kenangan;Pemula;Muhatadim;11;--;Rumput Laut;Aktif;PERIKANAN'),</v>
      </c>
    </row>
    <row r="40" spans="1:17" ht="32" customHeight="1">
      <c r="A40" s="16">
        <v>37</v>
      </c>
      <c r="B40" s="17" t="s">
        <v>51</v>
      </c>
      <c r="C40" s="18" t="s">
        <v>56</v>
      </c>
      <c r="D40" s="13" t="s">
        <v>25</v>
      </c>
      <c r="E40" s="18" t="s">
        <v>57</v>
      </c>
      <c r="F40" s="13">
        <v>11</v>
      </c>
      <c r="G40" s="13" t="s">
        <v>3</v>
      </c>
      <c r="H40" s="13" t="s">
        <v>30</v>
      </c>
      <c r="I40" s="16" t="s">
        <v>31</v>
      </c>
      <c r="J40" s="14"/>
      <c r="K40" s="13" t="s">
        <v>52</v>
      </c>
      <c r="L40" s="13">
        <v>6.6</v>
      </c>
      <c r="M40" s="13" t="s">
        <v>174</v>
      </c>
      <c r="N40" s="11"/>
      <c r="O40" s="34">
        <f>INDEX(desa!A:A,MATCH(B40,desa!B:B,0))</f>
        <v>8</v>
      </c>
      <c r="P40" s="7" t="s">
        <v>211</v>
      </c>
      <c r="Q40" s="34" t="str">
        <f t="shared" si="0"/>
        <v>('8;Pokdakan Maju Jaya;Pemula;Jayadi;11;-;Rumput Laut;Aktif;PERIKANAN'),</v>
      </c>
    </row>
    <row r="41" spans="1:17" ht="32" customHeight="1">
      <c r="A41" s="16">
        <v>38</v>
      </c>
      <c r="B41" s="17" t="s">
        <v>51</v>
      </c>
      <c r="C41" s="18" t="s">
        <v>58</v>
      </c>
      <c r="D41" s="13" t="s">
        <v>25</v>
      </c>
      <c r="E41" s="18" t="s">
        <v>6</v>
      </c>
      <c r="F41" s="13">
        <v>10</v>
      </c>
      <c r="G41" s="13" t="s">
        <v>3</v>
      </c>
      <c r="H41" s="13" t="s">
        <v>30</v>
      </c>
      <c r="I41" s="16" t="s">
        <v>31</v>
      </c>
      <c r="J41" s="14"/>
      <c r="K41" s="13" t="s">
        <v>52</v>
      </c>
      <c r="L41" s="13">
        <v>6.6</v>
      </c>
      <c r="M41" s="13" t="s">
        <v>174</v>
      </c>
      <c r="N41" s="21"/>
      <c r="O41" s="34">
        <f>INDEX(desa!A:A,MATCH(B41,desa!B:B,0))</f>
        <v>8</v>
      </c>
      <c r="P41" s="7" t="s">
        <v>211</v>
      </c>
      <c r="Q41" s="34" t="str">
        <f t="shared" si="0"/>
        <v>('8;Pokdakan Niat Balong;Pemula;Syafruddin;10;-;Rumput Laut;Aktif;PERIKANAN'),</v>
      </c>
    </row>
    <row r="42" spans="1:17" ht="32" customHeight="1">
      <c r="A42" s="16">
        <v>39</v>
      </c>
      <c r="B42" s="17" t="s">
        <v>51</v>
      </c>
      <c r="C42" s="18" t="s">
        <v>67</v>
      </c>
      <c r="D42" s="13" t="s">
        <v>25</v>
      </c>
      <c r="E42" s="18" t="s">
        <v>68</v>
      </c>
      <c r="F42" s="13">
        <v>10</v>
      </c>
      <c r="G42" s="13" t="s">
        <v>3</v>
      </c>
      <c r="H42" s="13" t="s">
        <v>65</v>
      </c>
      <c r="I42" s="16" t="s">
        <v>69</v>
      </c>
      <c r="J42" s="14"/>
      <c r="K42" s="13" t="s">
        <v>3</v>
      </c>
      <c r="L42" s="13" t="s">
        <v>3</v>
      </c>
      <c r="M42" s="13" t="s">
        <v>174</v>
      </c>
      <c r="N42" s="11"/>
      <c r="O42" s="34">
        <f>INDEX(desa!A:A,MATCH(B42,desa!B:B,0))</f>
        <v>8</v>
      </c>
      <c r="P42" s="7" t="s">
        <v>211</v>
      </c>
      <c r="Q42" s="34" t="str">
        <f t="shared" si="0"/>
        <v>('8;Poklahsar Karya Tani;Pemula;Timor Yati;10;-;Gurita;Aktif;PERIKANAN'),</v>
      </c>
    </row>
    <row r="43" spans="1:17" ht="32" customHeight="1">
      <c r="A43" s="16">
        <v>40</v>
      </c>
      <c r="B43" s="17" t="s">
        <v>139</v>
      </c>
      <c r="C43" s="18" t="s">
        <v>137</v>
      </c>
      <c r="D43" s="13" t="s">
        <v>25</v>
      </c>
      <c r="E43" s="18" t="s">
        <v>138</v>
      </c>
      <c r="F43" s="13">
        <v>10</v>
      </c>
      <c r="G43" s="13" t="s">
        <v>3</v>
      </c>
      <c r="H43" s="13" t="s">
        <v>140</v>
      </c>
      <c r="I43" s="16" t="s">
        <v>31</v>
      </c>
      <c r="J43" s="13" t="s">
        <v>3</v>
      </c>
      <c r="K43" s="13" t="s">
        <v>3</v>
      </c>
      <c r="L43" s="13" t="s">
        <v>3</v>
      </c>
      <c r="M43" s="13" t="s">
        <v>174</v>
      </c>
      <c r="N43" s="11"/>
      <c r="O43" s="34">
        <f>INDEX(desa!A:A,MATCH(B43,desa!B:B,0))</f>
        <v>8</v>
      </c>
      <c r="P43" s="7" t="s">
        <v>211</v>
      </c>
      <c r="Q43" s="34" t="str">
        <f t="shared" si="0"/>
        <v>('8;Pokdakan Sama Maras;Pemula;Emil;10;-;Rumput Laut;Aktif;PERIKANAN'),</v>
      </c>
    </row>
    <row r="44" spans="1:17" ht="32" customHeight="1">
      <c r="A44" s="16">
        <v>41</v>
      </c>
      <c r="B44" s="17" t="s">
        <v>139</v>
      </c>
      <c r="C44" s="18" t="s">
        <v>146</v>
      </c>
      <c r="D44" s="13" t="s">
        <v>17</v>
      </c>
      <c r="E44" s="18" t="s">
        <v>147</v>
      </c>
      <c r="F44" s="13">
        <v>10</v>
      </c>
      <c r="G44" s="13" t="s">
        <v>3</v>
      </c>
      <c r="H44" s="13" t="s">
        <v>140</v>
      </c>
      <c r="I44" s="16" t="s">
        <v>148</v>
      </c>
      <c r="J44" s="13"/>
      <c r="K44" s="13" t="s">
        <v>149</v>
      </c>
      <c r="L44" s="13"/>
      <c r="M44" s="13" t="s">
        <v>174</v>
      </c>
      <c r="N44" s="11"/>
      <c r="O44" s="34">
        <f>INDEX(desa!A:A,MATCH(B44,desa!B:B,0))</f>
        <v>8</v>
      </c>
      <c r="P44" s="7" t="s">
        <v>211</v>
      </c>
      <c r="Q44" s="34" t="str">
        <f t="shared" si="0"/>
        <v>('8;Pokdakan Saruruk Bangkit;Madya;Zainudin;10;-;Rumput laut;Aktif;PERIKANAN'),</v>
      </c>
    </row>
    <row r="45" spans="1:17" ht="32" customHeight="1">
      <c r="A45" s="16">
        <v>42</v>
      </c>
      <c r="B45" s="17" t="s">
        <v>139</v>
      </c>
      <c r="C45" s="18" t="s">
        <v>150</v>
      </c>
      <c r="D45" s="13" t="s">
        <v>25</v>
      </c>
      <c r="E45" s="18" t="s">
        <v>2</v>
      </c>
      <c r="F45" s="13">
        <v>10</v>
      </c>
      <c r="G45" s="13" t="s">
        <v>3</v>
      </c>
      <c r="H45" s="13" t="s">
        <v>140</v>
      </c>
      <c r="I45" s="16" t="s">
        <v>148</v>
      </c>
      <c r="J45" s="22"/>
      <c r="K45" s="13" t="s">
        <v>149</v>
      </c>
      <c r="L45" s="15"/>
      <c r="M45" s="13" t="s">
        <v>174</v>
      </c>
      <c r="N45" s="11"/>
      <c r="O45" s="34">
        <f>INDEX(desa!A:A,MATCH(B45,desa!B:B,0))</f>
        <v>8</v>
      </c>
      <c r="P45" s="7" t="s">
        <v>211</v>
      </c>
      <c r="Q45" s="34" t="str">
        <f t="shared" si="0"/>
        <v>('8;Saruruk Maju;Pemula;Suldim;10;-;Rumput laut;Aktif;PERIKANAN'),</v>
      </c>
    </row>
    <row r="46" spans="1:17" ht="32" customHeight="1">
      <c r="A46" s="16">
        <v>43</v>
      </c>
      <c r="B46" s="17" t="s">
        <v>139</v>
      </c>
      <c r="C46" s="18" t="s">
        <v>151</v>
      </c>
      <c r="D46" s="13" t="s">
        <v>25</v>
      </c>
      <c r="E46" s="18" t="s">
        <v>1</v>
      </c>
      <c r="F46" s="13">
        <v>10</v>
      </c>
      <c r="G46" s="13" t="s">
        <v>3</v>
      </c>
      <c r="H46" s="13" t="s">
        <v>140</v>
      </c>
      <c r="I46" s="16" t="s">
        <v>148</v>
      </c>
      <c r="J46" s="22"/>
      <c r="K46" s="13" t="s">
        <v>149</v>
      </c>
      <c r="L46" s="15"/>
      <c r="M46" s="13" t="s">
        <v>174</v>
      </c>
      <c r="N46" s="11"/>
      <c r="O46" s="34">
        <f>INDEX(desa!A:A,MATCH(B46,desa!B:B,0))</f>
        <v>8</v>
      </c>
      <c r="P46" s="7" t="s">
        <v>211</v>
      </c>
      <c r="Q46" s="34" t="str">
        <f t="shared" si="0"/>
        <v>('8;Maronge Barokah;Pemula;Saparuddin;10;-;Rumput laut;Aktif;PERIKANAN'),</v>
      </c>
    </row>
    <row r="47" spans="1:17" ht="32" customHeight="1">
      <c r="A47" s="16">
        <v>44</v>
      </c>
      <c r="B47" s="17" t="s">
        <v>139</v>
      </c>
      <c r="C47" s="18" t="s">
        <v>152</v>
      </c>
      <c r="D47" s="13" t="s">
        <v>25</v>
      </c>
      <c r="E47" s="18" t="s">
        <v>153</v>
      </c>
      <c r="F47" s="13">
        <v>10</v>
      </c>
      <c r="G47" s="13" t="s">
        <v>3</v>
      </c>
      <c r="H47" s="13" t="s">
        <v>140</v>
      </c>
      <c r="I47" s="16" t="s">
        <v>148</v>
      </c>
      <c r="J47" s="22"/>
      <c r="K47" s="13" t="s">
        <v>149</v>
      </c>
      <c r="L47" s="15"/>
      <c r="M47" s="13" t="s">
        <v>174</v>
      </c>
      <c r="N47" s="11"/>
      <c r="O47" s="34">
        <f>INDEX(desa!A:A,MATCH(B47,desa!B:B,0))</f>
        <v>8</v>
      </c>
      <c r="P47" s="7" t="s">
        <v>211</v>
      </c>
      <c r="Q47" s="34" t="str">
        <f t="shared" si="0"/>
        <v>('8;Anugerah Laut;Pemula;M. Sabur;10;-;Rumput laut;Aktif;PERIKANAN'),</v>
      </c>
    </row>
    <row r="48" spans="1:17" ht="32" customHeight="1">
      <c r="A48" s="16">
        <v>45</v>
      </c>
      <c r="B48" s="17" t="s">
        <v>139</v>
      </c>
      <c r="C48" s="18" t="s">
        <v>154</v>
      </c>
      <c r="D48" s="13" t="s">
        <v>25</v>
      </c>
      <c r="E48" s="18" t="s">
        <v>155</v>
      </c>
      <c r="F48" s="13">
        <v>10</v>
      </c>
      <c r="G48" s="13" t="s">
        <v>3</v>
      </c>
      <c r="H48" s="13" t="s">
        <v>140</v>
      </c>
      <c r="I48" s="16" t="s">
        <v>148</v>
      </c>
      <c r="J48" s="22"/>
      <c r="K48" s="13" t="s">
        <v>149</v>
      </c>
      <c r="L48" s="15"/>
      <c r="M48" s="13" t="s">
        <v>174</v>
      </c>
      <c r="N48" s="11"/>
      <c r="O48" s="34">
        <f>INDEX(desa!A:A,MATCH(B48,desa!B:B,0))</f>
        <v>8</v>
      </c>
      <c r="P48" s="7" t="s">
        <v>211</v>
      </c>
      <c r="Q48" s="34" t="str">
        <f t="shared" si="0"/>
        <v>('8;Saling Sakiki;Pemula;Asanul;10;-;Rumput laut;Aktif;PERIKANAN'),</v>
      </c>
    </row>
    <row r="49" spans="1:17" ht="32" customHeight="1">
      <c r="A49" s="16">
        <v>46</v>
      </c>
      <c r="B49" s="17" t="s">
        <v>139</v>
      </c>
      <c r="C49" s="18" t="s">
        <v>156</v>
      </c>
      <c r="D49" s="13" t="s">
        <v>25</v>
      </c>
      <c r="E49" s="18" t="s">
        <v>157</v>
      </c>
      <c r="F49" s="13">
        <v>10</v>
      </c>
      <c r="G49" s="13" t="s">
        <v>3</v>
      </c>
      <c r="H49" s="13" t="s">
        <v>140</v>
      </c>
      <c r="I49" s="16" t="s">
        <v>148</v>
      </c>
      <c r="J49" s="22"/>
      <c r="K49" s="13" t="s">
        <v>149</v>
      </c>
      <c r="L49" s="15"/>
      <c r="M49" s="13" t="s">
        <v>174</v>
      </c>
      <c r="N49" s="11"/>
      <c r="O49" s="34">
        <f>INDEX(desa!A:A,MATCH(B49,desa!B:B,0))</f>
        <v>8</v>
      </c>
      <c r="P49" s="7" t="s">
        <v>211</v>
      </c>
      <c r="Q49" s="34" t="str">
        <f t="shared" si="0"/>
        <v>('8;Limung Prapat;Pemula;Andi Aziz;10;-;Rumput laut;Aktif;PERIKANAN'),</v>
      </c>
    </row>
    <row r="50" spans="1:17" ht="32" customHeight="1">
      <c r="A50" s="16">
        <v>47</v>
      </c>
      <c r="B50" s="17" t="s">
        <v>139</v>
      </c>
      <c r="C50" s="18" t="s">
        <v>158</v>
      </c>
      <c r="D50" s="13" t="s">
        <v>25</v>
      </c>
      <c r="E50" s="18" t="s">
        <v>159</v>
      </c>
      <c r="F50" s="13">
        <v>10</v>
      </c>
      <c r="G50" s="13" t="s">
        <v>3</v>
      </c>
      <c r="H50" s="13" t="s">
        <v>140</v>
      </c>
      <c r="I50" s="16" t="s">
        <v>148</v>
      </c>
      <c r="J50" s="15"/>
      <c r="K50" s="13" t="s">
        <v>149</v>
      </c>
      <c r="L50" s="15"/>
      <c r="M50" s="13" t="s">
        <v>174</v>
      </c>
      <c r="N50" s="11"/>
      <c r="O50" s="34">
        <f>INDEX(desa!A:A,MATCH(B50,desa!B:B,0))</f>
        <v>8</v>
      </c>
      <c r="P50" s="7" t="s">
        <v>211</v>
      </c>
      <c r="Q50" s="34" t="str">
        <f t="shared" si="0"/>
        <v>('8;Ingat Bersama;Pemula;A.Haris Hamid;10;-;Rumput laut;Aktif;PERIKANAN'),</v>
      </c>
    </row>
    <row r="51" spans="1:17" ht="32" customHeight="1">
      <c r="A51" s="16">
        <v>48</v>
      </c>
      <c r="B51" s="17" t="s">
        <v>139</v>
      </c>
      <c r="C51" s="18" t="s">
        <v>160</v>
      </c>
      <c r="D51" s="13" t="s">
        <v>25</v>
      </c>
      <c r="E51" s="18" t="s">
        <v>161</v>
      </c>
      <c r="F51" s="13">
        <v>15</v>
      </c>
      <c r="G51" s="13" t="s">
        <v>3</v>
      </c>
      <c r="H51" s="13" t="s">
        <v>162</v>
      </c>
      <c r="I51" s="25"/>
      <c r="J51" s="15"/>
      <c r="K51" s="15"/>
      <c r="L51" s="15"/>
      <c r="M51" s="13" t="s">
        <v>174</v>
      </c>
      <c r="N51" s="11"/>
      <c r="O51" s="34">
        <f>INDEX(desa!A:A,MATCH(B51,desa!B:B,0))</f>
        <v>8</v>
      </c>
      <c r="P51" s="7" t="s">
        <v>211</v>
      </c>
      <c r="Q51" s="34" t="str">
        <f t="shared" si="0"/>
        <v>('8;Pokmaswas Bangka Bela;Pemula;Zakaria;15;-;;Aktif;PERIKANAN'),</v>
      </c>
    </row>
    <row r="52" spans="1:17" ht="15.5">
      <c r="A52" s="12"/>
    </row>
    <row r="53" spans="1:17" s="5" customFormat="1" ht="20" customHeight="1">
      <c r="A53" s="3" t="s">
        <v>14</v>
      </c>
      <c r="B53" s="6"/>
      <c r="C53" s="4"/>
      <c r="D53" s="4"/>
      <c r="J53" s="6"/>
    </row>
    <row r="54" spans="1:17" s="7" customFormat="1" ht="81.5" customHeight="1">
      <c r="A54" s="33" t="s">
        <v>175</v>
      </c>
      <c r="B54" s="33"/>
      <c r="C54" s="33"/>
      <c r="D54" s="33"/>
      <c r="E54" s="33"/>
      <c r="F54" s="33"/>
      <c r="G54" s="33"/>
      <c r="J54" s="1"/>
    </row>
    <row r="55" spans="1:17" s="7" customFormat="1" ht="57" customHeight="1">
      <c r="A55" s="33" t="s">
        <v>176</v>
      </c>
      <c r="B55" s="33"/>
      <c r="C55" s="33"/>
      <c r="D55" s="33"/>
      <c r="E55" s="33"/>
      <c r="F55" s="33"/>
      <c r="G55" s="33"/>
      <c r="J55" s="1"/>
    </row>
    <row r="56" spans="1:17" s="7" customFormat="1" ht="24" customHeight="1">
      <c r="A56" s="33" t="s">
        <v>177</v>
      </c>
      <c r="B56" s="33"/>
      <c r="C56" s="33"/>
      <c r="D56" s="33"/>
      <c r="E56" s="33"/>
      <c r="F56" s="33"/>
      <c r="G56" s="33"/>
      <c r="J56" s="1"/>
    </row>
  </sheetData>
  <mergeCells count="3">
    <mergeCell ref="A55:G55"/>
    <mergeCell ref="A56:G56"/>
    <mergeCell ref="A54:G5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2"/>
  <sheetViews>
    <sheetView workbookViewId="0">
      <selection activeCell="M10" sqref="M10"/>
    </sheetView>
  </sheetViews>
  <sheetFormatPr defaultRowHeight="14.5"/>
  <sheetData>
    <row r="1" spans="1:16" ht="35">
      <c r="A1" s="27" t="s">
        <v>179</v>
      </c>
    </row>
    <row r="2" spans="1:16">
      <c r="A2" s="26"/>
    </row>
    <row r="3" spans="1:16" ht="26">
      <c r="A3" s="28" t="s">
        <v>180</v>
      </c>
    </row>
    <row r="4" spans="1:16">
      <c r="A4" s="29"/>
      <c r="O4">
        <v>1</v>
      </c>
      <c r="P4" t="s">
        <v>206</v>
      </c>
    </row>
    <row r="5" spans="1:16">
      <c r="A5" s="30" t="s">
        <v>181</v>
      </c>
      <c r="O5">
        <v>2</v>
      </c>
      <c r="P5" t="s">
        <v>207</v>
      </c>
    </row>
    <row r="6" spans="1:16">
      <c r="A6" s="30" t="s">
        <v>182</v>
      </c>
    </row>
    <row r="7" spans="1:16">
      <c r="A7" s="26"/>
    </row>
    <row r="9" spans="1:16">
      <c r="A9" s="26"/>
    </row>
    <row r="10" spans="1:16" ht="26">
      <c r="A10" s="28" t="s">
        <v>183</v>
      </c>
    </row>
    <row r="11" spans="1:16">
      <c r="A11" s="29"/>
    </row>
    <row r="12" spans="1:16">
      <c r="A12" s="30" t="s">
        <v>184</v>
      </c>
    </row>
    <row r="13" spans="1:16">
      <c r="A13" s="30" t="s">
        <v>185</v>
      </c>
    </row>
    <row r="14" spans="1:16">
      <c r="A14" s="31" t="s">
        <v>186</v>
      </c>
    </row>
    <row r="15" spans="1:16">
      <c r="A15" s="31" t="s">
        <v>187</v>
      </c>
    </row>
    <row r="16" spans="1:16">
      <c r="A16" s="31" t="s">
        <v>188</v>
      </c>
    </row>
    <row r="17" spans="1:1">
      <c r="A17" s="26"/>
    </row>
    <row r="18" spans="1:1">
      <c r="A18" s="32" t="s">
        <v>189</v>
      </c>
    </row>
    <row r="19" spans="1:1">
      <c r="A19" s="26"/>
    </row>
    <row r="21" spans="1:1">
      <c r="A21" s="26"/>
    </row>
    <row r="22" spans="1:1" ht="26">
      <c r="A22" s="28" t="s">
        <v>190</v>
      </c>
    </row>
    <row r="23" spans="1:1">
      <c r="A23" s="29"/>
    </row>
    <row r="24" spans="1:1">
      <c r="A24" s="30" t="s">
        <v>191</v>
      </c>
    </row>
    <row r="25" spans="1:1">
      <c r="A25" s="30" t="s">
        <v>185</v>
      </c>
    </row>
    <row r="26" spans="1:1">
      <c r="A26" s="31" t="s">
        <v>192</v>
      </c>
    </row>
    <row r="27" spans="1:1">
      <c r="A27" s="31" t="s">
        <v>193</v>
      </c>
    </row>
    <row r="28" spans="1:1">
      <c r="A28" s="31" t="s">
        <v>194</v>
      </c>
    </row>
    <row r="29" spans="1:1">
      <c r="A29" s="26"/>
    </row>
    <row r="30" spans="1:1">
      <c r="A30" s="32" t="s">
        <v>195</v>
      </c>
    </row>
    <row r="31" spans="1:1">
      <c r="A31" s="26"/>
    </row>
    <row r="33" spans="1:1">
      <c r="A33" s="26"/>
    </row>
    <row r="34" spans="1:1" ht="26">
      <c r="A34" s="28" t="s">
        <v>196</v>
      </c>
    </row>
    <row r="35" spans="1:1">
      <c r="A35" s="29"/>
    </row>
    <row r="36" spans="1:1">
      <c r="A36" s="30" t="s">
        <v>197</v>
      </c>
    </row>
    <row r="37" spans="1:1">
      <c r="A37" s="30" t="s">
        <v>198</v>
      </c>
    </row>
    <row r="38" spans="1:1">
      <c r="A38" s="31" t="s">
        <v>20</v>
      </c>
    </row>
    <row r="39" spans="1:1">
      <c r="A39" s="31" t="s">
        <v>140</v>
      </c>
    </row>
    <row r="40" spans="1:1">
      <c r="A40" s="31" t="s">
        <v>65</v>
      </c>
    </row>
    <row r="41" spans="1:1">
      <c r="A41" s="26"/>
    </row>
    <row r="42" spans="1:1">
      <c r="A42" s="32" t="s">
        <v>199</v>
      </c>
    </row>
    <row r="43" spans="1:1">
      <c r="A43" s="26"/>
    </row>
    <row r="45" spans="1:1">
      <c r="A45" s="26"/>
    </row>
    <row r="46" spans="1:1" ht="26">
      <c r="A46" s="28" t="s">
        <v>200</v>
      </c>
    </row>
    <row r="47" spans="1:1">
      <c r="A47" s="29"/>
    </row>
    <row r="48" spans="1:1">
      <c r="A48" s="30" t="s">
        <v>201</v>
      </c>
    </row>
    <row r="49" spans="1:1">
      <c r="A49" s="30" t="s">
        <v>202</v>
      </c>
    </row>
    <row r="50" spans="1:1">
      <c r="A50" s="31" t="s">
        <v>203</v>
      </c>
    </row>
    <row r="51" spans="1:1">
      <c r="A51" s="31" t="s">
        <v>204</v>
      </c>
    </row>
    <row r="52" spans="1:1">
      <c r="A52" s="31" t="s">
        <v>205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election activeCell="B11" sqref="B11"/>
    </sheetView>
  </sheetViews>
  <sheetFormatPr defaultRowHeight="14.5"/>
  <cols>
    <col min="1" max="16384" width="8.7265625" style="36"/>
  </cols>
  <sheetData>
    <row r="1" spans="1:3">
      <c r="A1" s="35">
        <v>1</v>
      </c>
      <c r="B1" s="35" t="s">
        <v>0</v>
      </c>
      <c r="C1" s="35">
        <v>6</v>
      </c>
    </row>
    <row r="2" spans="1:3">
      <c r="A2" s="35">
        <v>2</v>
      </c>
      <c r="B2" s="35" t="s">
        <v>46</v>
      </c>
      <c r="C2" s="35">
        <v>6</v>
      </c>
    </row>
    <row r="3" spans="1:3">
      <c r="A3" s="35">
        <v>3</v>
      </c>
      <c r="B3" s="35" t="s">
        <v>208</v>
      </c>
      <c r="C3" s="35">
        <v>6</v>
      </c>
    </row>
    <row r="4" spans="1:3">
      <c r="A4" s="35">
        <v>4</v>
      </c>
      <c r="B4" s="35" t="s">
        <v>19</v>
      </c>
      <c r="C4" s="35">
        <v>6</v>
      </c>
    </row>
    <row r="5" spans="1:3">
      <c r="A5" s="35">
        <v>5</v>
      </c>
      <c r="B5" s="35" t="s">
        <v>29</v>
      </c>
      <c r="C5" s="35">
        <v>6</v>
      </c>
    </row>
    <row r="6" spans="1:3">
      <c r="A6" s="35">
        <v>6</v>
      </c>
      <c r="B6" s="35" t="s">
        <v>209</v>
      </c>
      <c r="C6" s="35">
        <v>6</v>
      </c>
    </row>
    <row r="7" spans="1:3">
      <c r="A7" s="35">
        <v>7</v>
      </c>
      <c r="B7" s="35" t="s">
        <v>119</v>
      </c>
      <c r="C7" s="35">
        <v>6</v>
      </c>
    </row>
    <row r="8" spans="1:3">
      <c r="A8" s="35">
        <v>8</v>
      </c>
      <c r="B8" s="35" t="s">
        <v>139</v>
      </c>
      <c r="C8" s="35">
        <v>6</v>
      </c>
    </row>
    <row r="9" spans="1:3">
      <c r="A9" s="35">
        <v>8</v>
      </c>
      <c r="B9" s="35" t="s">
        <v>51</v>
      </c>
      <c r="C9" s="35">
        <v>6</v>
      </c>
    </row>
    <row r="10" spans="1:3" ht="19">
      <c r="A10" s="35">
        <v>6</v>
      </c>
      <c r="B10" s="35" t="s">
        <v>210</v>
      </c>
      <c r="C10" s="35">
        <v>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KELEMBAGAAN PERIKANAN</vt:lpstr>
      <vt:lpstr>Sheet1</vt:lpstr>
      <vt:lpstr>desa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Bagus Hartiansyah</cp:lastModifiedBy>
  <dcterms:created xsi:type="dcterms:W3CDTF">2026-06-10T01:21:18Z</dcterms:created>
  <dcterms:modified xsi:type="dcterms:W3CDTF">2026-07-05T13:48:36Z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D37E91C743B04CE0B1BEA0A1C1D90B3F_13</vt:lpwstr>
  </property>
  <property fmtid="{D5CDD505-2E9C-101B-9397-08002B2CF9AE}" pid="3" name="KSOProductBuildVer">
    <vt:lpwstr>1033-12.1.0.26880</vt:lpwstr>
  </property>
  <property fmtid="{D5CDD505-2E9C-101B-9397-08002B2CF9AE}" pid="4" name="CalculationRule">
    <vt:i4>0</vt:i4>
  </property>
</Properties>
</file>