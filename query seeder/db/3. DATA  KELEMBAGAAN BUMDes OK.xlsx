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bhar1609\OneDrive - Amman Mineral\Documents\BGS\kawal_LPDM\kawal_LPMD\"/>
    </mc:Choice>
  </mc:AlternateContent>
  <bookViews>
    <workbookView xWindow="-110" yWindow="-110" windowWidth="19420" windowHeight="10300" tabRatio="500"/>
  </bookViews>
  <sheets>
    <sheet name="DATA KELEMBAGAAN BUMDes" sheetId="8" r:id="rId1"/>
    <sheet name="desa" sheetId="9"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8" l="1"/>
  <c r="Q5" i="8"/>
  <c r="O6" i="8"/>
  <c r="Q6" i="8"/>
  <c r="O7" i="8"/>
  <c r="Q7" i="8"/>
  <c r="O8" i="8"/>
  <c r="Q8" i="8"/>
  <c r="O9" i="8"/>
  <c r="Q9" i="8"/>
  <c r="O10" i="8"/>
  <c r="Q10" i="8" s="1"/>
  <c r="O11" i="8"/>
  <c r="Q11" i="8"/>
  <c r="O12" i="8"/>
  <c r="Q12" i="8" s="1"/>
  <c r="O13" i="8"/>
  <c r="Q13" i="8" s="1"/>
  <c r="O14" i="8"/>
  <c r="Q14" i="8"/>
  <c r="O15" i="8"/>
  <c r="Q15" i="8"/>
  <c r="O16" i="8"/>
  <c r="Q16" i="8"/>
  <c r="O17" i="8"/>
  <c r="Q17" i="8"/>
  <c r="O18" i="8"/>
  <c r="Q18" i="8"/>
  <c r="Q4" i="8"/>
  <c r="O4" i="8"/>
</calcChain>
</file>

<file path=xl/sharedStrings.xml><?xml version="1.0" encoding="utf-8"?>
<sst xmlns="http://schemas.openxmlformats.org/spreadsheetml/2006/main" count="134" uniqueCount="86">
  <si>
    <t>Kiantar</t>
  </si>
  <si>
    <t>-</t>
  </si>
  <si>
    <t>Poto Tano</t>
  </si>
  <si>
    <t>Senayan</t>
  </si>
  <si>
    <t>Tebo</t>
  </si>
  <si>
    <t>Aktif</t>
  </si>
  <si>
    <t>NAMA_BUMDES</t>
  </si>
  <si>
    <t>DESA</t>
  </si>
  <si>
    <t>TAHUN_BERDIRI</t>
  </si>
  <si>
    <t>NAMA_AWAL_BUMDES</t>
  </si>
  <si>
    <t>Batu Wali</t>
  </si>
  <si>
    <t xml:space="preserve">Perdes Nomor 01 Tahun 2015 </t>
  </si>
  <si>
    <t>Mantar</t>
  </si>
  <si>
    <t>UPT Tambak Sari</t>
  </si>
  <si>
    <t xml:space="preserve">Kokarlian </t>
  </si>
  <si>
    <t>Tua Nanga</t>
  </si>
  <si>
    <t>NO.</t>
  </si>
  <si>
    <t>SK PENGUKUHAN BUMDES</t>
  </si>
  <si>
    <t>SK KEPENGURUSAN (SAAT INI)</t>
  </si>
  <si>
    <t>SK Kepala Desa Senayan Nomor 35  Tahun 2020</t>
  </si>
  <si>
    <t>Mantar Sejahtera</t>
  </si>
  <si>
    <t>Perdes Nomor 06 Tahun 2021</t>
  </si>
  <si>
    <t>Tanggal 10 Januari 2015</t>
  </si>
  <si>
    <t>Tanggal 27 November 2021</t>
  </si>
  <si>
    <t>Tangal 28 Desember Tahun 2020</t>
  </si>
  <si>
    <t>USAHA YANG BERJALAN SAAT INI</t>
  </si>
  <si>
    <t>SK Kepala Desa Nomor 02 Tahun 2016</t>
  </si>
  <si>
    <t>Tanggal 14 Februari 2016</t>
  </si>
  <si>
    <t>Kiantar Makmur</t>
  </si>
  <si>
    <t>Adipura, S.HI</t>
  </si>
  <si>
    <t>Lawang Desa</t>
  </si>
  <si>
    <t>SK Kepala Desa Nomor 10 Tahun 2015</t>
  </si>
  <si>
    <t>Tunas Karya Mandiri</t>
  </si>
  <si>
    <t>Melati</t>
  </si>
  <si>
    <t xml:space="preserve">Perdes Nomor 03 Tahun 2015 </t>
  </si>
  <si>
    <t>SK Kepala Desa Nomor 07 Tahun 2015</t>
  </si>
  <si>
    <t>Tanggal 11 Mei 2015</t>
  </si>
  <si>
    <t>Subali Makmur</t>
  </si>
  <si>
    <t>Berkah Bersama</t>
  </si>
  <si>
    <t>Perdes Nomor 04 Tahun 2015</t>
  </si>
  <si>
    <t>SK Kepala Desa Nomor 13 Tahun 2015</t>
  </si>
  <si>
    <t>Saling Beme</t>
  </si>
  <si>
    <t>Tanggal 02 Januari 2016</t>
  </si>
  <si>
    <t>Perdes Nomor 08 Tahun 2015</t>
  </si>
  <si>
    <t>Berlian</t>
  </si>
  <si>
    <t>Tanggal 14 Januari 2015</t>
  </si>
  <si>
    <t>Perdes Nomor 03 Tahun 2016</t>
  </si>
  <si>
    <t>Tanggal 1 April 2015</t>
  </si>
  <si>
    <t>Tanggal 13 April 2015</t>
  </si>
  <si>
    <t>SK Kepala Desa Nomor 22 Tahun 2020</t>
  </si>
  <si>
    <t>03 Desember 2020</t>
  </si>
  <si>
    <t>Adam, A.Md</t>
  </si>
  <si>
    <t>STATUS OPERASIONAL BUMDes</t>
  </si>
  <si>
    <t>H. Harjito</t>
  </si>
  <si>
    <t>SK Kepala Desa Tambak Sari Nomor 25.1 Tahun 2024</t>
  </si>
  <si>
    <t>Tanggal</t>
  </si>
  <si>
    <t>SK Kepala Desa Tua Nanga Nomor 52 Tahun 2025</t>
  </si>
  <si>
    <t>Tanggal 26 Juni 2025</t>
  </si>
  <si>
    <t>Supardi</t>
  </si>
  <si>
    <t>Tidak Aktif (Belum terbentuk kepengurusan baru)</t>
  </si>
  <si>
    <t>Dinonaktifkan (Bermasalah)</t>
  </si>
  <si>
    <t>DASAR PEMBENTUKAN</t>
  </si>
  <si>
    <t>Usaha Peternakan Unggas (Bebek)</t>
  </si>
  <si>
    <t>Usaha Pertanian</t>
  </si>
  <si>
    <t>085338946809</t>
  </si>
  <si>
    <t>082339169774</t>
  </si>
  <si>
    <t>085157750492</t>
  </si>
  <si>
    <t>Andi Kusuma</t>
  </si>
  <si>
    <t>082340714717</t>
  </si>
  <si>
    <t xml:space="preserve">Aktif (Kepengurusan Baru) </t>
  </si>
  <si>
    <t>Aktif (kepengurusan baru)</t>
  </si>
  <si>
    <t>Pengadaan Saprodi, jual beli udang broken</t>
  </si>
  <si>
    <t>NAMA DIREKTUR BUMDes</t>
  </si>
  <si>
    <t>Nomor HP Direktur BUMDes</t>
  </si>
  <si>
    <t>Jumlah Pengelola BUMDes</t>
  </si>
  <si>
    <t>3 Orang</t>
  </si>
  <si>
    <t>Keterangan : Kolom yang di blok hijau merupakan area penerapan uji coba Kawal LPMD (Tiga Desa dengan status BUMDes yang aktif dan ada kegiatan usaha)</t>
  </si>
  <si>
    <t>Aktif (Kepengurusan Baru)</t>
  </si>
  <si>
    <t>Deskripsi  : Menurut Pasal 1 Ayat 6 UU No 6 Tahun 2014 tentang Desa, BUMDes adalah badan usaha desa yang dibuat atau didirikan oleh pemerintah desa, dimana pengelolaan serta kepemilikan modalnya di kelola bersama antara pemerintah desa dan masyarakat, namun penyertaan modalnya diutamakan dari desa, melalui penyertaan bersumber dari kekayaan desa yang dipisahkan, baik sebagian maupun seluruh dari jumlah modal yang diperlukan untuk mengoperasikan BUMDes</t>
  </si>
  <si>
    <t>DATA KELEMBAGAAN BUMDes (BADAN USAHA MILIK DESA) KECAMATAN POTO TANO 2026</t>
  </si>
  <si>
    <t>Kokarlian</t>
  </si>
  <si>
    <t>Tambak Sari</t>
  </si>
  <si>
    <t>Tuananga</t>
  </si>
  <si>
    <t>Tua nanga</t>
  </si>
  <si>
    <t>upt Tambak Sari</t>
  </si>
  <si>
    <t>BUMDes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</si>
</sst>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libri"/>
      <charset val="134"/>
    </font>
    <font>
      <sz val="11"/>
      <name val="Calibri"/>
      <family val="2"/>
    </font>
    <font>
      <b/>
      <sz val="12"/>
      <name val="Bookman Old Style"/>
      <family val="1"/>
    </font>
    <font>
      <sz val="12"/>
      <name val="Bookman Old Style"/>
      <family val="1"/>
    </font>
    <font>
      <i/>
      <sz val="12"/>
      <name val="Bookman Old Style"/>
      <family val="1"/>
    </font>
    <font>
      <sz val="7"/>
      <name val="Consolas"/>
      <family val="3"/>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cellStyleXfs>
  <cellXfs count="34">
    <xf numFmtId="0" fontId="0" fillId="0" borderId="0" xfId="0"/>
    <xf numFmtId="0" fontId="0" fillId="0" borderId="0" xfId="0" applyAlignment="1">
      <alignment horizontal="center"/>
    </xf>
    <xf numFmtId="0" fontId="3" fillId="0" borderId="0" xfId="0" applyFont="1"/>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center"/>
    </xf>
    <xf numFmtId="0" fontId="3" fillId="2" borderId="0" xfId="0" applyFont="1" applyFill="1" applyAlignment="1">
      <alignment horizontal="center"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14" fontId="3" fillId="2" borderId="0" xfId="0" applyNumberFormat="1" applyFont="1" applyFill="1" applyAlignment="1">
      <alignment vertical="center" wrapText="1"/>
    </xf>
    <xf numFmtId="0" fontId="3" fillId="2" borderId="0" xfId="0" quotePrefix="1" applyFont="1" applyFill="1" applyAlignment="1">
      <alignment vertical="center" wrapText="1"/>
    </xf>
    <xf numFmtId="0" fontId="3" fillId="2" borderId="0" xfId="0" applyFont="1" applyFill="1" applyAlignment="1">
      <alignment vertical="center"/>
    </xf>
    <xf numFmtId="0" fontId="3" fillId="0" borderId="0" xfId="0" applyFont="1" applyAlignment="1">
      <alignment horizontal="center" vertical="top"/>
    </xf>
    <xf numFmtId="0" fontId="3" fillId="0" borderId="0" xfId="0" applyFont="1" applyAlignment="1">
      <alignment vertical="top"/>
    </xf>
    <xf numFmtId="0" fontId="3" fillId="0" borderId="0" xfId="0" applyFont="1" applyAlignment="1">
      <alignment horizontal="center"/>
    </xf>
    <xf numFmtId="0" fontId="3" fillId="0" borderId="0" xfId="0" applyFont="1" applyAlignment="1">
      <alignment horizontal="center" vertical="center" wrapText="1"/>
    </xf>
    <xf numFmtId="0" fontId="3" fillId="0" borderId="0" xfId="0" quotePrefix="1" applyFont="1"/>
    <xf numFmtId="0" fontId="3" fillId="2" borderId="0" xfId="0" quotePrefix="1" applyFont="1" applyFill="1" applyAlignment="1">
      <alignment vertical="center"/>
    </xf>
    <xf numFmtId="0" fontId="3" fillId="0" borderId="0" xfId="0" applyFont="1" applyAlignment="1">
      <alignment horizontal="center" wrapText="1"/>
    </xf>
    <xf numFmtId="17" fontId="3" fillId="0" borderId="0" xfId="0" applyNumberFormat="1" applyFont="1" applyAlignment="1">
      <alignment wrapText="1"/>
    </xf>
    <xf numFmtId="14" fontId="3" fillId="0" borderId="0" xfId="0" applyNumberFormat="1" applyFont="1" applyAlignment="1">
      <alignment wrapText="1"/>
    </xf>
    <xf numFmtId="0" fontId="3" fillId="2" borderId="0" xfId="0" applyFont="1" applyFill="1" applyAlignment="1">
      <alignment horizontal="center"/>
    </xf>
    <xf numFmtId="0" fontId="3" fillId="2" borderId="0" xfId="0" applyFont="1" applyFill="1"/>
    <xf numFmtId="0" fontId="3" fillId="2" borderId="0" xfId="0" applyFont="1" applyFill="1" applyAlignment="1">
      <alignment horizontal="center" wrapText="1"/>
    </xf>
    <xf numFmtId="17" fontId="3" fillId="2" borderId="0" xfId="0" applyNumberFormat="1" applyFont="1" applyFill="1" applyAlignment="1">
      <alignment wrapText="1"/>
    </xf>
    <xf numFmtId="0" fontId="3" fillId="2" borderId="0" xfId="0" quotePrefix="1" applyFont="1" applyFill="1"/>
    <xf numFmtId="17" fontId="3" fillId="0" borderId="0" xfId="0" applyNumberFormat="1" applyFont="1" applyAlignment="1">
      <alignment vertical="center" wrapText="1"/>
    </xf>
    <xf numFmtId="0" fontId="3" fillId="0" borderId="0" xfId="0" applyFont="1" applyAlignment="1">
      <alignment horizontal="left"/>
    </xf>
    <xf numFmtId="0" fontId="2" fillId="0" borderId="0" xfId="0" applyFont="1" applyAlignment="1">
      <alignment horizontal="left" vertical="center"/>
    </xf>
    <xf numFmtId="0" fontId="4" fillId="0" borderId="0" xfId="0" applyFont="1" applyAlignment="1">
      <alignment horizontal="left" wrapText="1"/>
    </xf>
    <xf numFmtId="0" fontId="5" fillId="0" borderId="0" xfId="1" applyFont="1" applyAlignment="1">
      <alignment vertical="center" wrapText="1"/>
    </xf>
    <xf numFmtId="0" fontId="1" fillId="0" borderId="0" xfId="1"/>
    <xf numFmtId="0" fontId="3" fillId="0" borderId="0" xfId="1" applyFont="1"/>
    <xf numFmtId="0" fontId="1" fillId="0" borderId="0" xfId="0" applyFont="1"/>
  </cellXfs>
  <cellStyles count="2">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tabSelected="1" topLeftCell="A10" zoomScale="91" workbookViewId="0">
      <selection activeCell="Q18" activeCellId="4" sqref="Q4 Q8 Q12 Q16 Q18"/>
    </sheetView>
  </sheetViews>
  <sheetFormatPr defaultRowHeight="14.5"/>
  <cols>
    <col min="1" max="1" width="4.81640625" style="1" customWidth="1"/>
    <col min="2" max="2" width="20.1796875" customWidth="1"/>
    <col min="3" max="3" width="20" customWidth="1"/>
    <col min="4" max="4" width="22.453125" customWidth="1"/>
    <col min="5" max="5" width="29.36328125" customWidth="1"/>
    <col min="6" max="6" width="38.26953125" customWidth="1"/>
    <col min="7" max="7" width="45.90625" customWidth="1"/>
    <col min="8" max="8" width="58.1796875" customWidth="1"/>
    <col min="9" max="11" width="25.90625" customWidth="1"/>
    <col min="12" max="12" width="46.1796875" customWidth="1"/>
    <col min="13" max="13" width="44.26953125" customWidth="1"/>
  </cols>
  <sheetData>
    <row r="1" spans="1:17" s="2" customFormat="1" ht="15.5">
      <c r="A1" s="28" t="s">
        <v>79</v>
      </c>
      <c r="B1" s="28"/>
      <c r="C1" s="28"/>
      <c r="D1" s="28"/>
      <c r="E1" s="28"/>
      <c r="F1" s="28"/>
      <c r="G1" s="28"/>
      <c r="H1" s="28"/>
      <c r="I1" s="28"/>
      <c r="J1" s="28"/>
      <c r="K1" s="28"/>
      <c r="L1" s="28"/>
      <c r="M1" s="28"/>
    </row>
    <row r="2" spans="1:17" s="2" customFormat="1" ht="25" customHeight="1">
      <c r="A2" s="28"/>
      <c r="B2" s="28"/>
      <c r="C2" s="28"/>
      <c r="D2" s="28"/>
      <c r="E2" s="28"/>
      <c r="F2" s="28"/>
      <c r="G2" s="28"/>
      <c r="H2" s="28"/>
      <c r="I2" s="28"/>
      <c r="J2" s="28"/>
      <c r="K2" s="28"/>
      <c r="L2" s="28"/>
      <c r="M2" s="28"/>
    </row>
    <row r="3" spans="1:17" s="5" customFormat="1" ht="34.5" customHeight="1">
      <c r="A3" s="3" t="s">
        <v>16</v>
      </c>
      <c r="B3" s="4" t="s">
        <v>6</v>
      </c>
      <c r="C3" s="4" t="s">
        <v>7</v>
      </c>
      <c r="D3" s="4" t="s">
        <v>8</v>
      </c>
      <c r="E3" s="4" t="s">
        <v>9</v>
      </c>
      <c r="F3" s="4" t="s">
        <v>61</v>
      </c>
      <c r="G3" s="4" t="s">
        <v>17</v>
      </c>
      <c r="H3" s="4" t="s">
        <v>18</v>
      </c>
      <c r="I3" s="4" t="s">
        <v>72</v>
      </c>
      <c r="J3" s="4" t="s">
        <v>73</v>
      </c>
      <c r="K3" s="4" t="s">
        <v>74</v>
      </c>
      <c r="L3" s="4" t="s">
        <v>25</v>
      </c>
      <c r="M3" s="4" t="s">
        <v>52</v>
      </c>
    </row>
    <row r="4" spans="1:17" s="11" customFormat="1" ht="27" customHeight="1">
      <c r="A4" s="6">
        <v>1</v>
      </c>
      <c r="B4" s="7" t="s">
        <v>10</v>
      </c>
      <c r="C4" s="7" t="s">
        <v>3</v>
      </c>
      <c r="D4" s="8">
        <v>2015</v>
      </c>
      <c r="E4" s="7" t="s">
        <v>10</v>
      </c>
      <c r="F4" s="9"/>
      <c r="G4" s="9" t="s">
        <v>31</v>
      </c>
      <c r="H4" s="7" t="s">
        <v>19</v>
      </c>
      <c r="I4" s="7" t="s">
        <v>29</v>
      </c>
      <c r="J4" s="10" t="s">
        <v>64</v>
      </c>
      <c r="K4" s="10" t="s">
        <v>75</v>
      </c>
      <c r="L4" s="7" t="s">
        <v>62</v>
      </c>
      <c r="M4" s="7" t="s">
        <v>5</v>
      </c>
      <c r="O4" s="32">
        <f>INDEX(desa!A:A,MATCH(C4,desa!B:B,0))</f>
        <v>5</v>
      </c>
      <c r="P4" s="33" t="s">
        <v>85</v>
      </c>
      <c r="Q4" s="32" t="str">
        <f>CONCATENATE("('",O4,";",B4,";",D4,";",I4,";",J4,";",K4,";",M4,";",P4,"'),")</f>
        <v>('5;Batu Wali;2015;Adipura, S.HI;085338946809;3 Orang;Aktif;BUMDes'),</v>
      </c>
    </row>
    <row r="5" spans="1:17" s="13" customFormat="1" ht="15.5">
      <c r="A5" s="12"/>
      <c r="G5" s="13" t="s">
        <v>36</v>
      </c>
      <c r="H5" s="13" t="s">
        <v>24</v>
      </c>
      <c r="O5" s="32" t="e">
        <f>INDEX(desa!A:A,MATCH(C5,desa!B:B,0))</f>
        <v>#N/A</v>
      </c>
      <c r="P5" s="33" t="s">
        <v>85</v>
      </c>
      <c r="Q5" s="32" t="e">
        <f t="shared" ref="Q5:Q18" si="0">CONCATENATE("('",O5,";",B5,";",D5,";",I5,";",J5,";",K5,";",M5,";",P5,"'),")</f>
        <v>#N/A</v>
      </c>
    </row>
    <row r="6" spans="1:17" s="2" customFormat="1" ht="24.5" customHeight="1">
      <c r="A6" s="14">
        <v>2</v>
      </c>
      <c r="B6" s="2" t="s">
        <v>20</v>
      </c>
      <c r="C6" s="2" t="s">
        <v>12</v>
      </c>
      <c r="D6" s="15">
        <v>2021</v>
      </c>
      <c r="E6" s="2" t="s">
        <v>20</v>
      </c>
      <c r="F6" s="2" t="s">
        <v>21</v>
      </c>
      <c r="G6" s="16" t="s">
        <v>1</v>
      </c>
      <c r="H6" s="16"/>
      <c r="K6" s="2" t="s">
        <v>75</v>
      </c>
      <c r="M6" s="2" t="s">
        <v>70</v>
      </c>
      <c r="O6" s="32">
        <f>INDEX(desa!A:A,MATCH(C6,desa!B:B,0))</f>
        <v>3</v>
      </c>
      <c r="P6" s="33" t="s">
        <v>85</v>
      </c>
      <c r="Q6" s="32" t="str">
        <f t="shared" si="0"/>
        <v>('3;Mantar Sejahtera;2021;;;3 Orang;Aktif (kepengurusan baru);BUMDes'),</v>
      </c>
    </row>
    <row r="7" spans="1:17" s="13" customFormat="1" ht="30.5" customHeight="1">
      <c r="A7" s="12"/>
      <c r="F7" s="13" t="s">
        <v>23</v>
      </c>
      <c r="O7" s="32" t="e">
        <f>INDEX(desa!A:A,MATCH(C7,desa!B:B,0))</f>
        <v>#N/A</v>
      </c>
      <c r="P7" s="33" t="s">
        <v>85</v>
      </c>
      <c r="Q7" s="32" t="e">
        <f t="shared" si="0"/>
        <v>#N/A</v>
      </c>
    </row>
    <row r="8" spans="1:17" s="11" customFormat="1" ht="25" customHeight="1">
      <c r="A8" s="6">
        <v>3</v>
      </c>
      <c r="B8" s="11" t="s">
        <v>28</v>
      </c>
      <c r="C8" s="11" t="s">
        <v>0</v>
      </c>
      <c r="D8" s="8">
        <v>2016</v>
      </c>
      <c r="E8" s="11" t="s">
        <v>28</v>
      </c>
      <c r="F8" s="11" t="s">
        <v>26</v>
      </c>
      <c r="G8" s="11" t="s">
        <v>26</v>
      </c>
      <c r="I8" s="11" t="s">
        <v>67</v>
      </c>
      <c r="J8" s="17" t="s">
        <v>68</v>
      </c>
      <c r="K8" s="17" t="s">
        <v>75</v>
      </c>
      <c r="L8" s="11" t="s">
        <v>63</v>
      </c>
      <c r="M8" s="11" t="s">
        <v>5</v>
      </c>
      <c r="O8" s="32">
        <f>INDEX(desa!A:A,MATCH(C8,desa!B:B,0))</f>
        <v>1</v>
      </c>
      <c r="P8" s="33" t="s">
        <v>85</v>
      </c>
      <c r="Q8" s="32" t="str">
        <f t="shared" si="0"/>
        <v>('1;Kiantar Makmur;2016;Andi Kusuma;082340714717;3 Orang;Aktif;BUMDes'),</v>
      </c>
    </row>
    <row r="9" spans="1:17" s="2" customFormat="1" ht="15.5">
      <c r="A9" s="14"/>
      <c r="D9" s="15"/>
      <c r="F9" s="2" t="s">
        <v>27</v>
      </c>
      <c r="G9" s="2" t="s">
        <v>27</v>
      </c>
      <c r="O9" s="32" t="e">
        <f>INDEX(desa!A:A,MATCH(C9,desa!B:B,0))</f>
        <v>#N/A</v>
      </c>
      <c r="P9" s="33" t="s">
        <v>85</v>
      </c>
      <c r="Q9" s="32" t="e">
        <f t="shared" si="0"/>
        <v>#N/A</v>
      </c>
    </row>
    <row r="10" spans="1:17" s="2" customFormat="1" ht="28.5" customHeight="1">
      <c r="A10" s="14">
        <v>4</v>
      </c>
      <c r="B10" s="2" t="s">
        <v>30</v>
      </c>
      <c r="C10" s="2" t="s">
        <v>2</v>
      </c>
      <c r="D10" s="18">
        <v>2015</v>
      </c>
      <c r="E10" s="2" t="s">
        <v>30</v>
      </c>
      <c r="F10" s="19" t="s">
        <v>11</v>
      </c>
      <c r="G10" s="20" t="s">
        <v>31</v>
      </c>
      <c r="K10" s="2" t="s">
        <v>75</v>
      </c>
      <c r="M10" s="2" t="s">
        <v>77</v>
      </c>
      <c r="O10" s="32">
        <f>INDEX(desa!A:A,MATCH(C10,desa!B:B,0))</f>
        <v>4</v>
      </c>
      <c r="P10" s="33" t="s">
        <v>85</v>
      </c>
      <c r="Q10" s="32" t="str">
        <f t="shared" si="0"/>
        <v>('4;Lawang Desa;2015;;;3 Orang;Aktif (Kepengurusan Baru);BUMDes'),</v>
      </c>
    </row>
    <row r="11" spans="1:17" s="13" customFormat="1" ht="25" customHeight="1">
      <c r="A11" s="12"/>
      <c r="F11" s="13" t="s">
        <v>22</v>
      </c>
      <c r="G11" s="13" t="s">
        <v>22</v>
      </c>
      <c r="O11" s="32" t="e">
        <f>INDEX(desa!A:A,MATCH(C11,desa!B:B,0))</f>
        <v>#N/A</v>
      </c>
      <c r="P11" s="33" t="s">
        <v>85</v>
      </c>
      <c r="Q11" s="32" t="e">
        <f t="shared" si="0"/>
        <v>#N/A</v>
      </c>
    </row>
    <row r="12" spans="1:17" s="22" customFormat="1" ht="26" customHeight="1">
      <c r="A12" s="21">
        <v>5</v>
      </c>
      <c r="B12" s="22" t="s">
        <v>32</v>
      </c>
      <c r="C12" s="22" t="s">
        <v>13</v>
      </c>
      <c r="D12" s="23">
        <v>2015</v>
      </c>
      <c r="E12" s="22" t="s">
        <v>33</v>
      </c>
      <c r="F12" s="24" t="s">
        <v>34</v>
      </c>
      <c r="G12" s="22" t="s">
        <v>35</v>
      </c>
      <c r="H12" s="22" t="s">
        <v>54</v>
      </c>
      <c r="I12" s="22" t="s">
        <v>53</v>
      </c>
      <c r="J12" s="25" t="s">
        <v>66</v>
      </c>
      <c r="K12" s="25" t="s">
        <v>75</v>
      </c>
      <c r="L12" s="22" t="s">
        <v>71</v>
      </c>
      <c r="M12" s="22" t="s">
        <v>70</v>
      </c>
      <c r="O12" s="32">
        <f>INDEX(desa!A:A,MATCH(C12,desa!B:B,0))</f>
        <v>6</v>
      </c>
      <c r="P12" s="33" t="s">
        <v>85</v>
      </c>
      <c r="Q12" s="32" t="str">
        <f t="shared" si="0"/>
        <v>('6;Tunas Karya Mandiri;2015;H. Harjito;085157750492;3 Orang;Aktif (kepengurusan baru);BUMDes'),</v>
      </c>
    </row>
    <row r="13" spans="1:17" s="13" customFormat="1" ht="35" customHeight="1">
      <c r="A13" s="12"/>
      <c r="F13" s="13" t="s">
        <v>45</v>
      </c>
      <c r="G13" s="13" t="s">
        <v>27</v>
      </c>
      <c r="H13" s="13" t="s">
        <v>55</v>
      </c>
      <c r="O13" s="32" t="e">
        <f>INDEX(desa!A:A,MATCH(C13,desa!B:B,0))</f>
        <v>#N/A</v>
      </c>
      <c r="P13" s="33" t="s">
        <v>85</v>
      </c>
      <c r="Q13" s="32" t="e">
        <f t="shared" si="0"/>
        <v>#N/A</v>
      </c>
    </row>
    <row r="14" spans="1:17" s="2" customFormat="1" ht="15.5">
      <c r="A14" s="14">
        <v>6</v>
      </c>
      <c r="B14" s="2" t="s">
        <v>44</v>
      </c>
      <c r="C14" s="2" t="s">
        <v>14</v>
      </c>
      <c r="D14" s="15">
        <v>2016</v>
      </c>
      <c r="E14" s="2" t="s">
        <v>37</v>
      </c>
      <c r="F14" s="26" t="s">
        <v>46</v>
      </c>
      <c r="G14" s="16" t="s">
        <v>1</v>
      </c>
      <c r="H14" s="16" t="s">
        <v>1</v>
      </c>
      <c r="I14" s="16" t="s">
        <v>1</v>
      </c>
      <c r="J14" s="16" t="s">
        <v>1</v>
      </c>
      <c r="K14" s="16" t="s">
        <v>1</v>
      </c>
      <c r="L14" s="16" t="s">
        <v>1</v>
      </c>
      <c r="M14" s="2" t="s">
        <v>59</v>
      </c>
      <c r="O14" s="32" t="e">
        <f>INDEX(desa!A:A,MATCH(C14,desa!B:B,0))</f>
        <v>#N/A</v>
      </c>
      <c r="P14" s="33" t="s">
        <v>85</v>
      </c>
      <c r="Q14" s="32" t="e">
        <f t="shared" si="0"/>
        <v>#N/A</v>
      </c>
    </row>
    <row r="15" spans="1:17" s="2" customFormat="1" ht="23.5" customHeight="1">
      <c r="A15" s="14"/>
      <c r="O15" s="32" t="e">
        <f>INDEX(desa!A:A,MATCH(C15,desa!B:B,0))</f>
        <v>#N/A</v>
      </c>
      <c r="P15" s="33" t="s">
        <v>85</v>
      </c>
      <c r="Q15" s="32" t="e">
        <f t="shared" si="0"/>
        <v>#N/A</v>
      </c>
    </row>
    <row r="16" spans="1:17" s="2" customFormat="1" ht="15.5">
      <c r="A16" s="14">
        <v>7</v>
      </c>
      <c r="B16" s="2" t="s">
        <v>38</v>
      </c>
      <c r="C16" s="2" t="s">
        <v>4</v>
      </c>
      <c r="D16" s="15">
        <v>2015</v>
      </c>
      <c r="E16" s="2" t="s">
        <v>38</v>
      </c>
      <c r="F16" s="2" t="s">
        <v>39</v>
      </c>
      <c r="G16" s="2" t="s">
        <v>40</v>
      </c>
      <c r="H16" s="2" t="s">
        <v>49</v>
      </c>
      <c r="I16" s="2" t="s">
        <v>51</v>
      </c>
      <c r="J16" s="16" t="s">
        <v>1</v>
      </c>
      <c r="K16" s="16" t="s">
        <v>1</v>
      </c>
      <c r="L16" s="16" t="s">
        <v>1</v>
      </c>
      <c r="M16" s="2" t="s">
        <v>60</v>
      </c>
      <c r="O16" s="32">
        <f>INDEX(desa!A:A,MATCH(C16,desa!B:B,0))</f>
        <v>7</v>
      </c>
      <c r="P16" s="33" t="s">
        <v>85</v>
      </c>
      <c r="Q16" s="32" t="str">
        <f t="shared" si="0"/>
        <v>('7;Berkah Bersama;2015;Adam, A.Md;-;-;Dinonaktifkan (Bermasalah);BUMDes'),</v>
      </c>
    </row>
    <row r="17" spans="1:17" s="13" customFormat="1" ht="27.5" customHeight="1">
      <c r="A17" s="12"/>
      <c r="F17" s="13" t="s">
        <v>48</v>
      </c>
      <c r="G17" s="13" t="s">
        <v>47</v>
      </c>
      <c r="H17" s="13" t="s">
        <v>50</v>
      </c>
      <c r="O17" s="32" t="e">
        <f>INDEX(desa!A:A,MATCH(C17,desa!B:B,0))</f>
        <v>#N/A</v>
      </c>
      <c r="P17" s="33" t="s">
        <v>85</v>
      </c>
      <c r="Q17" s="32" t="e">
        <f t="shared" si="0"/>
        <v>#N/A</v>
      </c>
    </row>
    <row r="18" spans="1:17" s="2" customFormat="1" ht="15.5">
      <c r="A18" s="14">
        <v>8</v>
      </c>
      <c r="B18" s="2" t="s">
        <v>41</v>
      </c>
      <c r="C18" s="2" t="s">
        <v>15</v>
      </c>
      <c r="D18" s="15">
        <v>2015</v>
      </c>
      <c r="E18" s="2" t="s">
        <v>41</v>
      </c>
      <c r="F18" s="2" t="s">
        <v>43</v>
      </c>
      <c r="G18" s="2" t="s">
        <v>40</v>
      </c>
      <c r="H18" s="2" t="s">
        <v>56</v>
      </c>
      <c r="I18" s="2" t="s">
        <v>58</v>
      </c>
      <c r="J18" s="16" t="s">
        <v>65</v>
      </c>
      <c r="K18" s="16" t="s">
        <v>75</v>
      </c>
      <c r="L18" s="16" t="s">
        <v>1</v>
      </c>
      <c r="M18" s="2" t="s">
        <v>69</v>
      </c>
      <c r="O18" s="32">
        <f>INDEX(desa!A:A,MATCH(C18,desa!B:B,0))</f>
        <v>8</v>
      </c>
      <c r="P18" s="33" t="s">
        <v>85</v>
      </c>
      <c r="Q18" s="32" t="str">
        <f t="shared" si="0"/>
        <v>('8;Saling Beme;2015;Supardi;082339169774;3 Orang;Aktif (Kepengurusan Baru) ;BUMDes'),</v>
      </c>
    </row>
    <row r="19" spans="1:17" s="2" customFormat="1" ht="15.5">
      <c r="A19" s="14"/>
      <c r="F19" s="2" t="s">
        <v>42</v>
      </c>
      <c r="H19" s="2" t="s">
        <v>57</v>
      </c>
    </row>
    <row r="20" spans="1:17" s="2" customFormat="1" ht="15.5">
      <c r="A20" s="14"/>
    </row>
    <row r="21" spans="1:17" s="2" customFormat="1" ht="15.5">
      <c r="A21" s="14"/>
    </row>
    <row r="22" spans="1:17" s="2" customFormat="1" ht="54" customHeight="1">
      <c r="A22" s="29" t="s">
        <v>78</v>
      </c>
      <c r="B22" s="29"/>
      <c r="C22" s="29"/>
      <c r="D22" s="29"/>
      <c r="E22" s="29"/>
      <c r="F22" s="29"/>
      <c r="G22" s="29"/>
    </row>
    <row r="24" spans="1:17" s="2" customFormat="1" ht="15.5">
      <c r="A24" s="27" t="s">
        <v>76</v>
      </c>
    </row>
  </sheetData>
  <mergeCells count="2">
    <mergeCell ref="A1:M2"/>
    <mergeCell ref="A22:G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11" sqref="B11"/>
    </sheetView>
  </sheetViews>
  <sheetFormatPr defaultRowHeight="14.5"/>
  <cols>
    <col min="1" max="16384" width="8.7265625" style="31"/>
  </cols>
  <sheetData>
    <row r="1" spans="1:3">
      <c r="A1" s="30">
        <v>1</v>
      </c>
      <c r="B1" s="30" t="s">
        <v>0</v>
      </c>
      <c r="C1" s="30">
        <v>6</v>
      </c>
    </row>
    <row r="2" spans="1:3">
      <c r="A2" s="30">
        <v>2</v>
      </c>
      <c r="B2" s="30" t="s">
        <v>80</v>
      </c>
      <c r="C2" s="30">
        <v>6</v>
      </c>
    </row>
    <row r="3" spans="1:3">
      <c r="A3" s="30">
        <v>3</v>
      </c>
      <c r="B3" s="30" t="s">
        <v>12</v>
      </c>
      <c r="C3" s="30">
        <v>6</v>
      </c>
    </row>
    <row r="4" spans="1:3">
      <c r="A4" s="30">
        <v>4</v>
      </c>
      <c r="B4" s="30" t="s">
        <v>2</v>
      </c>
      <c r="C4" s="30">
        <v>6</v>
      </c>
    </row>
    <row r="5" spans="1:3">
      <c r="A5" s="30">
        <v>5</v>
      </c>
      <c r="B5" s="30" t="s">
        <v>3</v>
      </c>
      <c r="C5" s="30">
        <v>6</v>
      </c>
    </row>
    <row r="6" spans="1:3">
      <c r="A6" s="30">
        <v>6</v>
      </c>
      <c r="B6" s="30" t="s">
        <v>81</v>
      </c>
      <c r="C6" s="30">
        <v>6</v>
      </c>
    </row>
    <row r="7" spans="1:3">
      <c r="A7" s="30">
        <v>7</v>
      </c>
      <c r="B7" s="30" t="s">
        <v>4</v>
      </c>
      <c r="C7" s="30">
        <v>6</v>
      </c>
    </row>
    <row r="8" spans="1:3">
      <c r="A8" s="30">
        <v>8</v>
      </c>
      <c r="B8" s="30" t="s">
        <v>82</v>
      </c>
      <c r="C8" s="30">
        <v>6</v>
      </c>
    </row>
    <row r="9" spans="1:3">
      <c r="A9" s="30">
        <v>8</v>
      </c>
      <c r="B9" s="30" t="s">
        <v>83</v>
      </c>
      <c r="C9" s="30">
        <v>6</v>
      </c>
    </row>
    <row r="10" spans="1:3" ht="19">
      <c r="A10" s="30">
        <v>6</v>
      </c>
      <c r="B10" s="30" t="s">
        <v>84</v>
      </c>
      <c r="C10" s="30">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KELEMBAGAAN BUMDes</vt:lpstr>
      <vt:lpstr>desa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Bagus Hartiansyah</cp:lastModifiedBy>
  <dcterms:created xsi:type="dcterms:W3CDTF">2026-06-10T01:21:18Z</dcterms:created>
  <dcterms:modified xsi:type="dcterms:W3CDTF">2026-07-05T14:06:35Z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D37E91C743B04CE0B1BEA0A1C1D90B3F_13</vt:lpwstr>
  </property>
  <property fmtid="{D5CDD505-2E9C-101B-9397-08002B2CF9AE}" pid="3" name="KSOProductBuildVer">
    <vt:lpwstr>1033-12.1.0.26880</vt:lpwstr>
  </property>
  <property fmtid="{D5CDD505-2E9C-101B-9397-08002B2CF9AE}" pid="4" name="CalculationRule">
    <vt:i4>0</vt:i4>
  </property>
</Properties>
</file>