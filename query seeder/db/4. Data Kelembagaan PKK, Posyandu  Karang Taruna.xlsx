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har1609\OneDrive - Amman Mineral\Documents\BGS\kawal_LPDM\kawal_LPMD\"/>
    </mc:Choice>
  </mc:AlternateContent>
  <bookViews>
    <workbookView minimized="1" xWindow="-110" yWindow="-110" windowWidth="19420" windowHeight="10300"/>
  </bookViews>
  <sheets>
    <sheet name="PKK" sheetId="2" r:id="rId1"/>
    <sheet name="Posyandu" sheetId="4" r:id="rId2"/>
    <sheet name="Karang Taruna" sheetId="3" r:id="rId3"/>
    <sheet name="KDMP" sheetId="6" r:id="rId4"/>
    <sheet name="LAT" sheetId="8" r:id="rId5"/>
    <sheet name="desa" sheetId="9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Q4" i="2" s="1"/>
  <c r="O5" i="2"/>
  <c r="O6" i="2"/>
  <c r="O7" i="2"/>
  <c r="O8" i="2"/>
  <c r="O9" i="2"/>
  <c r="O10" i="2"/>
  <c r="O3" i="2"/>
  <c r="Q5" i="2"/>
  <c r="Q6" i="2"/>
  <c r="Q7" i="2"/>
  <c r="Q8" i="2"/>
  <c r="Q9" i="2"/>
  <c r="Q10" i="2"/>
  <c r="Q3" i="2"/>
  <c r="L4" i="4"/>
  <c r="L5" i="4"/>
  <c r="N5" i="4" s="1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4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M4" i="3"/>
  <c r="O4" i="3" s="1"/>
  <c r="M5" i="3"/>
  <c r="O5" i="3" s="1"/>
  <c r="M6" i="3"/>
  <c r="O6" i="3" s="1"/>
  <c r="M7" i="3"/>
  <c r="O7" i="3"/>
  <c r="M8" i="3"/>
  <c r="O8" i="3"/>
  <c r="M9" i="3"/>
  <c r="O9" i="3"/>
  <c r="M10" i="3"/>
  <c r="O10" i="3"/>
  <c r="M11" i="3"/>
  <c r="O11" i="3"/>
  <c r="P3" i="6"/>
  <c r="P4" i="6"/>
  <c r="R4" i="6" s="1"/>
  <c r="P5" i="6"/>
  <c r="R5" i="6"/>
  <c r="P6" i="6"/>
  <c r="R6" i="6"/>
  <c r="P7" i="6"/>
  <c r="R7" i="6"/>
  <c r="P8" i="6"/>
  <c r="R8" i="6"/>
  <c r="P9" i="6"/>
  <c r="R9" i="6"/>
  <c r="P10" i="6"/>
  <c r="R10" i="6"/>
  <c r="R3" i="6"/>
  <c r="M4" i="8"/>
  <c r="M5" i="8"/>
  <c r="O5" i="8"/>
  <c r="M6" i="8"/>
  <c r="O6" i="8"/>
  <c r="M7" i="8"/>
  <c r="O7" i="8"/>
  <c r="M8" i="8"/>
  <c r="O8" i="8"/>
  <c r="M9" i="8"/>
  <c r="O9" i="8"/>
  <c r="M10" i="8"/>
  <c r="O10" i="8"/>
  <c r="M11" i="8"/>
  <c r="O11" i="8"/>
  <c r="O4" i="8"/>
</calcChain>
</file>

<file path=xl/sharedStrings.xml><?xml version="1.0" encoding="utf-8"?>
<sst xmlns="http://schemas.openxmlformats.org/spreadsheetml/2006/main" count="607" uniqueCount="325">
  <si>
    <t>Nama Tim Penggerak PKK</t>
  </si>
  <si>
    <t>Tahun Pembentukan</t>
  </si>
  <si>
    <t>Nama Ketua</t>
  </si>
  <si>
    <t>Jumlah Pengurus</t>
  </si>
  <si>
    <t>Nama ketua Pokja IV</t>
  </si>
  <si>
    <t>Senayan</t>
  </si>
  <si>
    <t>Mantar</t>
  </si>
  <si>
    <t>Kiantar</t>
  </si>
  <si>
    <t>Kokarlian</t>
  </si>
  <si>
    <t>UPT Tambak Sari</t>
  </si>
  <si>
    <t>Tebo</t>
  </si>
  <si>
    <t>Tua Nanga</t>
  </si>
  <si>
    <t>Poto Tano</t>
  </si>
  <si>
    <t>No</t>
  </si>
  <si>
    <t>Nama Karang Taruna</t>
  </si>
  <si>
    <t>15 Januari 2020</t>
  </si>
  <si>
    <t>Jaswiah</t>
  </si>
  <si>
    <t>Hj. Atun</t>
  </si>
  <si>
    <t>Mega Sartika</t>
  </si>
  <si>
    <t>Ninda Yulistina</t>
  </si>
  <si>
    <t>Robiah</t>
  </si>
  <si>
    <t>Ayu</t>
  </si>
  <si>
    <t>Maskendi</t>
  </si>
  <si>
    <t>Ninik Lestari</t>
  </si>
  <si>
    <t>Emi Suriani</t>
  </si>
  <si>
    <t>Supiati</t>
  </si>
  <si>
    <t>Yemi Maya S,A.Md.Keb</t>
  </si>
  <si>
    <t>Endang Purnamasari</t>
  </si>
  <si>
    <t>21 Agustus 2023</t>
  </si>
  <si>
    <t>Mita Ade Susantri</t>
  </si>
  <si>
    <t>Erhariani</t>
  </si>
  <si>
    <t>Ida Husnianti</t>
  </si>
  <si>
    <t>Nurhidayanti</t>
  </si>
  <si>
    <t>08 Januari 2025</t>
  </si>
  <si>
    <t>Hasni</t>
  </si>
  <si>
    <t>Rusmiati</t>
  </si>
  <si>
    <t>Salmawati</t>
  </si>
  <si>
    <t>Tiomor Yati</t>
  </si>
  <si>
    <t>No.</t>
  </si>
  <si>
    <t>DATA KELEMBAGAAN PKK KECAMATAN POTO TANO TAHUN 2026</t>
  </si>
  <si>
    <t>Nama Desa</t>
  </si>
  <si>
    <t>Jumlah Anggota Aktif</t>
  </si>
  <si>
    <t>TP. PKK Desa Senayan</t>
  </si>
  <si>
    <t>TP. PKK Desa Mantar</t>
  </si>
  <si>
    <t>TP. PKK Desa Poto Tano</t>
  </si>
  <si>
    <t>TP. PKK Desa Kokarlian</t>
  </si>
  <si>
    <t>TP. PKK Desa Kiantar</t>
  </si>
  <si>
    <t>TP. PKK Desa Tambak Sari</t>
  </si>
  <si>
    <t>TP. PKK Desa Tebo</t>
  </si>
  <si>
    <t>SK Kepala Desa Senayan Nomor 09 Tahun 2020</t>
  </si>
  <si>
    <t>Status Operasional Lembaga (Aktif/Tidak Aktif)</t>
  </si>
  <si>
    <t>Tanggal SK</t>
  </si>
  <si>
    <t>Nama Ketua Pokja I</t>
  </si>
  <si>
    <t>Nama Ketua Pokja II</t>
  </si>
  <si>
    <t>Nama Ketua Pokja III</t>
  </si>
  <si>
    <t>SK Kepala Desa Kiantar Nomor 39 Tahun 2023</t>
  </si>
  <si>
    <t>SK  Kepala Desa Tambak Sari Nomor 32 Tahun 2025</t>
  </si>
  <si>
    <t xml:space="preserve">SK Kepala Desa Poto Tano Nomor </t>
  </si>
  <si>
    <t>DATA KELEMBAGAAN KARANG TARUNA KECAMATAN POTO TANO</t>
  </si>
  <si>
    <t>TP. PKK Desa Tua Nanga</t>
  </si>
  <si>
    <t>Tahun 2019 - 2026</t>
  </si>
  <si>
    <t>Kusnarti</t>
  </si>
  <si>
    <t>Elvi</t>
  </si>
  <si>
    <t>Atmi Nurhayati</t>
  </si>
  <si>
    <t>14 Februari 2025</t>
  </si>
  <si>
    <t>Gerakan Pemuda Bersatu</t>
  </si>
  <si>
    <t>Sudarmono</t>
  </si>
  <si>
    <t>Hj. Tendri Emang</t>
  </si>
  <si>
    <t>SK Kepala Desa Tebo Nomor        Tahun 2025</t>
  </si>
  <si>
    <t>45 Orang</t>
  </si>
  <si>
    <t>SK Kepala Desa Tebo Nomor 44 Tahun 2023</t>
  </si>
  <si>
    <t>11 Orang</t>
  </si>
  <si>
    <t>Jenis Kegiatan</t>
  </si>
  <si>
    <t>Aktif</t>
  </si>
  <si>
    <t>Nama Posyandu</t>
  </si>
  <si>
    <t>Desa</t>
  </si>
  <si>
    <t>Keterangan</t>
  </si>
  <si>
    <t>-</t>
  </si>
  <si>
    <t>Posyandu Delima A</t>
  </si>
  <si>
    <t>SK Kepala Desa Tebo Nomor 56 Tahun 2025</t>
  </si>
  <si>
    <t>Syafruddin</t>
  </si>
  <si>
    <t>15 Orang</t>
  </si>
  <si>
    <t>Posyandu Delima B</t>
  </si>
  <si>
    <t>Toni Karlina</t>
  </si>
  <si>
    <t>10 Orang</t>
  </si>
  <si>
    <t>Suharni</t>
  </si>
  <si>
    <t>Lokasi/Dusun</t>
  </si>
  <si>
    <t>SK Kepala Desa Tebo Nomor 10 Tahun 2025</t>
  </si>
  <si>
    <t>Tuananga</t>
  </si>
  <si>
    <t>04 Januari 2026</t>
  </si>
  <si>
    <t>Mustar</t>
  </si>
  <si>
    <t>Pasir Putih</t>
  </si>
  <si>
    <t>Kamaruddin</t>
  </si>
  <si>
    <t>03 Januari 2026</t>
  </si>
  <si>
    <t>SK Kepala Desa Poto Tano No. 02.a Tahun 2026</t>
  </si>
  <si>
    <t>Mawar Merah</t>
  </si>
  <si>
    <t>Mawar Putih</t>
  </si>
  <si>
    <t>Kamboja</t>
  </si>
  <si>
    <t>Cempaka</t>
  </si>
  <si>
    <t>Teratai</t>
  </si>
  <si>
    <t>Flamboyan</t>
  </si>
  <si>
    <t>Dsn. Ai' Olat</t>
  </si>
  <si>
    <t>Dsn. Jembatang Kemar</t>
  </si>
  <si>
    <t>Dsn. Mantar</t>
  </si>
  <si>
    <t>Dsn. Kokarlian</t>
  </si>
  <si>
    <t>Dsn. Omal sapa</t>
  </si>
  <si>
    <t>Dsn. Sagena</t>
  </si>
  <si>
    <t>Dsn. Kuang Busir</t>
  </si>
  <si>
    <t>Dsn. Poto Tano A</t>
  </si>
  <si>
    <t>Dsn. Poto Tano B</t>
  </si>
  <si>
    <t>Dsn. Pinamin</t>
  </si>
  <si>
    <t>Bougenville A</t>
  </si>
  <si>
    <t>Bougenville B</t>
  </si>
  <si>
    <t>Dsn. Tambak Sari</t>
  </si>
  <si>
    <t>Asoka</t>
  </si>
  <si>
    <t>Dahlia</t>
  </si>
  <si>
    <t>Dsn. Daya Makmur</t>
  </si>
  <si>
    <t>Matahari</t>
  </si>
  <si>
    <t>Dsn. Samarekat</t>
  </si>
  <si>
    <t>Edelwais</t>
  </si>
  <si>
    <t>Dsn. Budisari</t>
  </si>
  <si>
    <t>Seroja</t>
  </si>
  <si>
    <t>Sakura</t>
  </si>
  <si>
    <t>Anggrek Ungu</t>
  </si>
  <si>
    <t>Anggrek Putih</t>
  </si>
  <si>
    <t>Kemang Kele</t>
  </si>
  <si>
    <t>Nuryani</t>
  </si>
  <si>
    <t>Nurhasanah</t>
  </si>
  <si>
    <t>Fitria Ningsih</t>
  </si>
  <si>
    <t>Nyoman Irayani</t>
  </si>
  <si>
    <t>Ida Elisah</t>
  </si>
  <si>
    <t>Hernawati</t>
  </si>
  <si>
    <t>Fatih Anggaraini</t>
  </si>
  <si>
    <t>TP. Posyandu Sedap Malam A</t>
  </si>
  <si>
    <t>TP. Posyandu Sedap Malam B</t>
  </si>
  <si>
    <t>SK Kepala Desa Poto Tano No.  02.b  Tahun 2026</t>
  </si>
  <si>
    <t>Abdul Kadir</t>
  </si>
  <si>
    <t>SK Kepala Desa Poto Tano No. 02.c  Tahun 2026</t>
  </si>
  <si>
    <t>Ismail</t>
  </si>
  <si>
    <t>SK Kepala Desa Poto Tano No.  02  Tahun 2026</t>
  </si>
  <si>
    <t>Nama Lembaga</t>
  </si>
  <si>
    <t>KDMP Poto Tano</t>
  </si>
  <si>
    <t>Syamsuddin</t>
  </si>
  <si>
    <t>3 Orang</t>
  </si>
  <si>
    <t>5 Orang</t>
  </si>
  <si>
    <t>Anasrullah</t>
  </si>
  <si>
    <t>40 Orang</t>
  </si>
  <si>
    <t>Nusantara</t>
  </si>
  <si>
    <t>Amirollah</t>
  </si>
  <si>
    <t>SK Kepala Desa Kiantar No. 07 Tahun 2025</t>
  </si>
  <si>
    <t>06 Januari 2026</t>
  </si>
  <si>
    <t>9 Orang</t>
  </si>
  <si>
    <t>8 Orang</t>
  </si>
  <si>
    <t>31 Orang</t>
  </si>
  <si>
    <t>41 Orang</t>
  </si>
  <si>
    <t>SK Kepala Desa Tua Nanga Nomor 25 Tahun 2025</t>
  </si>
  <si>
    <t>39  orang</t>
  </si>
  <si>
    <t>KDMP Kokarlian</t>
  </si>
  <si>
    <t>DATA KELEMBAGAAN KOPERASI DESA MERAH PUTIH KECAMATAN POTOTANO</t>
  </si>
  <si>
    <t>Nama Ketua/Pimpinan</t>
  </si>
  <si>
    <t>Nama Ketua/Pimpinan Dewan Pengawas</t>
  </si>
  <si>
    <t>Jumlah Dewan Pengawas</t>
  </si>
  <si>
    <t>Jumlah Anggota KDMP</t>
  </si>
  <si>
    <t>Usaha yang berjalan saat ini</t>
  </si>
  <si>
    <t>TP. Posyandu Tingkat Desa Poto Tano</t>
  </si>
  <si>
    <t>SK Kepengurusan (yang berlaku saat ini)</t>
  </si>
  <si>
    <t>Masa Bakti Kepengurusan</t>
  </si>
  <si>
    <t>Ira Maya Lestari, A.Md.Keb</t>
  </si>
  <si>
    <t>Katmini, A.Md.Keb</t>
  </si>
  <si>
    <t>Nama Ketua Posyandu</t>
  </si>
  <si>
    <t>Status Operasinal (Aktif/Tidak Aktif)</t>
  </si>
  <si>
    <t>Dsn. Senayan Bawah</t>
  </si>
  <si>
    <t>Dsn. Senayan Atas</t>
  </si>
  <si>
    <t>DATA KELEMBAGAAN POSYANDU SE-KECAMATAN POTO TANO TAHUN 2026</t>
  </si>
  <si>
    <t>Dsn. Tua Nanga</t>
  </si>
  <si>
    <t>Dsn. Bage Manis</t>
  </si>
  <si>
    <t>Dsn. Bangka Bela</t>
  </si>
  <si>
    <t>TP. Posyandu Melati</t>
  </si>
  <si>
    <t xml:space="preserve">SK Kepala Desa Mantar Nomor 100.3.3.2.09 Tahun 2026 </t>
  </si>
  <si>
    <t>05 Januari 2026</t>
  </si>
  <si>
    <t>Sanapiah</t>
  </si>
  <si>
    <t>Roy Rada</t>
  </si>
  <si>
    <t>Angin Renas Gunung Mantar (ARGM)</t>
  </si>
  <si>
    <t>SK Kepala Desa Mantar Nomor 33 Tahun 2026</t>
  </si>
  <si>
    <t>01  Februari 2026</t>
  </si>
  <si>
    <t>Burhanuddin</t>
  </si>
  <si>
    <t>21 Orang</t>
  </si>
  <si>
    <t>Olahraga, Sosial dan Budaya</t>
  </si>
  <si>
    <t>26 Orang</t>
  </si>
  <si>
    <t>Status Operasional kegiatan (Aktif/Tidak Aktif)</t>
  </si>
  <si>
    <t>Basema Kiantar</t>
  </si>
  <si>
    <t>Karang Taruna Desa Poto Tano</t>
  </si>
  <si>
    <t>Olahraga, Seni Budaya dan Keagamaan</t>
  </si>
  <si>
    <t>Karang Taruna Desa Tua Nanga</t>
  </si>
  <si>
    <t>Darwin</t>
  </si>
  <si>
    <t>Asmono</t>
  </si>
  <si>
    <t>KDMP Mantar</t>
  </si>
  <si>
    <t>50 Orang</t>
  </si>
  <si>
    <t xml:space="preserve">Periode Kepengurusan </t>
  </si>
  <si>
    <t>Th. 2025 - 2030</t>
  </si>
  <si>
    <t xml:space="preserve">SK Kepala Desa Senayan No.18 Tahun 2026 </t>
  </si>
  <si>
    <t xml:space="preserve">Tanggal SK Kepengurusan </t>
  </si>
  <si>
    <t>02 Januari 2026</t>
  </si>
  <si>
    <t>Muliati</t>
  </si>
  <si>
    <t>Jumlah Pengurus/Kader</t>
  </si>
  <si>
    <t>Sartika</t>
  </si>
  <si>
    <t>Nabila Hani</t>
  </si>
  <si>
    <t xml:space="preserve">SK Kepala Desa Mantar Nomor 100.3.3.2.24 Tahun 2026 </t>
  </si>
  <si>
    <t>TP. Posyandu Tulip</t>
  </si>
  <si>
    <t>Batu Wali</t>
  </si>
  <si>
    <t xml:space="preserve">Periode kepengurusan </t>
  </si>
  <si>
    <t>Th. 2021 s/d 2027</t>
  </si>
  <si>
    <t>SK Kepala Desa Senayan Nomor 16c Tahun 2021</t>
  </si>
  <si>
    <t>Tanggal SK Kepengurusan</t>
  </si>
  <si>
    <t>Khairul Rijal A. Malik. A.Md</t>
  </si>
  <si>
    <t>13 Orang</t>
  </si>
  <si>
    <t>10 Januari 2021</t>
  </si>
  <si>
    <t>Olahraga, Sosial, Seni Budaya, Keagamaan dan Pemberdayaan Perempuan</t>
  </si>
  <si>
    <t>KDMP Tua Nanga</t>
  </si>
  <si>
    <t>Jabarno</t>
  </si>
  <si>
    <t>SK Kepala Desa Tua Nanga Nomor      Tahun 2025</t>
  </si>
  <si>
    <t>Hamzah</t>
  </si>
  <si>
    <t>Th. 2025 - 2028</t>
  </si>
  <si>
    <t>Hartati, S.Pd.SD</t>
  </si>
  <si>
    <t>Asmawati, S.Pd</t>
  </si>
  <si>
    <t>42 Orang</t>
  </si>
  <si>
    <t>SK Kepala Desa Mantar Nomor  35 Tahun 2026</t>
  </si>
  <si>
    <t>Ayu Wandira</t>
  </si>
  <si>
    <t>Tahun 2019 - 2027</t>
  </si>
  <si>
    <t>SK Kepala Desa Senayan Nomor 17 Tahun 2025</t>
  </si>
  <si>
    <t>2 Januari 2025</t>
  </si>
  <si>
    <t>2025 s/d 2027</t>
  </si>
  <si>
    <t>Jafar, S.Pd</t>
  </si>
  <si>
    <t>Pelestarian Adat istiadat, seni dan budaya Tana Samawa</t>
  </si>
  <si>
    <t>08 Januari 2026</t>
  </si>
  <si>
    <t>SK Kepala Desa Tua Nanga Nomor 05 Tahun 2026</t>
  </si>
  <si>
    <t>Nurmawati</t>
  </si>
  <si>
    <t>03 Januari 2025</t>
  </si>
  <si>
    <t>24 Sept. 2025</t>
  </si>
  <si>
    <t>Dsn. Balaman Permai</t>
  </si>
  <si>
    <t>Lembaga Adat Desa Tua Nanga</t>
  </si>
  <si>
    <t>SK Kepala Desa Tua Nanga Nomor 26 Tahun 2025</t>
  </si>
  <si>
    <t>Lembaga Adat Tana Samawa (LATS) Desa Senayan</t>
  </si>
  <si>
    <t>Detari</t>
  </si>
  <si>
    <t>SK Kepala Desa Tambak Sari Nomor 35.2 Tahun 2024</t>
  </si>
  <si>
    <t>02 Januari 2024</t>
  </si>
  <si>
    <t>Th. 2024 s/d 2029</t>
  </si>
  <si>
    <t>Miftah Sholihin, S.Pd</t>
  </si>
  <si>
    <t>24 Orang</t>
  </si>
  <si>
    <t>Lembaga Adat Desa Desa Tambak Sari</t>
  </si>
  <si>
    <t>SK Kepala Desa Tambak Sari Nomor 19 Tahun 2026</t>
  </si>
  <si>
    <t>Drs. Agus Salim</t>
  </si>
  <si>
    <t xml:space="preserve"> 02 Januari 2025</t>
  </si>
  <si>
    <t>Lili Suriani, S.Pd</t>
  </si>
  <si>
    <t>36 Orang</t>
  </si>
  <si>
    <t xml:space="preserve">SK Kepala Desa Tambak Sari No. 14 Tahun 2026 </t>
  </si>
  <si>
    <t>Marnah</t>
  </si>
  <si>
    <t xml:space="preserve">SK Kepala Desa Tambak Sari No. 15 Tahun 2026 </t>
  </si>
  <si>
    <t>KDMP Tambak Sari</t>
  </si>
  <si>
    <t>Ir. Ofik Muslim</t>
  </si>
  <si>
    <t>5 orang</t>
  </si>
  <si>
    <t/>
  </si>
  <si>
    <t>SK Kepala Desa Poto Tano Nomor 03 Tahun 2026</t>
  </si>
  <si>
    <t>14 Februari 2023</t>
  </si>
  <si>
    <t>SK Kepal Desa Tua Nanga Nomor 20 Tahun 2025</t>
  </si>
  <si>
    <t>Syamsul</t>
  </si>
  <si>
    <t>14 Orang</t>
  </si>
  <si>
    <t xml:space="preserve">Olahraga, Seni Budaya dan Keagamaan, </t>
  </si>
  <si>
    <t>Sosial Kemasyarakatan, keagaman, olahraga dan seni budaya</t>
  </si>
  <si>
    <t>25 Orang</t>
  </si>
  <si>
    <t>Sri Yulianti</t>
  </si>
  <si>
    <t>Nuryanita, S.Pd</t>
  </si>
  <si>
    <t>Evi Adekayanti, S.Pd</t>
  </si>
  <si>
    <t>Sri Astuti</t>
  </si>
  <si>
    <t>Rosmaniar, A.Md.Keb</t>
  </si>
  <si>
    <t>32 Orang</t>
  </si>
  <si>
    <t>A Karim</t>
  </si>
  <si>
    <t>KDMP Senayan</t>
  </si>
  <si>
    <t>KDMP Kiantar</t>
  </si>
  <si>
    <t>KDMP Tebo</t>
  </si>
  <si>
    <t>Jumaher</t>
  </si>
  <si>
    <t>Lembaga Adat Tana Samawa (LATS) Desa Kiantar</t>
  </si>
  <si>
    <t>SK Kepala Desa Kiantar : 10-a/LATS-KIANTAR/2023-1444H</t>
  </si>
  <si>
    <t>2023 s/d 2028</t>
  </si>
  <si>
    <t>Abdullah</t>
  </si>
  <si>
    <t>20 Februari 2023</t>
  </si>
  <si>
    <t>H. Junaidi</t>
  </si>
  <si>
    <t>Th. 2025 - 2029</t>
  </si>
  <si>
    <t>34 Orang</t>
  </si>
  <si>
    <t>Berita Acara Rapat Pendirian KDMP Senayan, Nomor:-</t>
  </si>
  <si>
    <t>Berita Acara Rapat pendirian KDMP Mantar, Nomor:-</t>
  </si>
  <si>
    <t>SK Kepala Desa Tambak Sari Nomor 46 Tahun 2025</t>
  </si>
  <si>
    <t>27 Mei 2025</t>
  </si>
  <si>
    <t>28 Mei 2025</t>
  </si>
  <si>
    <t>21 Mei 2025</t>
  </si>
  <si>
    <t>20 Mei  2025</t>
  </si>
  <si>
    <t>Berita Acara Rapat pendirian KDMP Poto Tano, Nomor: 500.16.3.4/195/V/2025</t>
  </si>
  <si>
    <t>Berita Acara MUSDES Pendirian KDMP Kokarlian, Nomor:-</t>
  </si>
  <si>
    <t>Adam</t>
  </si>
  <si>
    <t>Dokumen Legalitas (Berita Acara/SK)</t>
  </si>
  <si>
    <t>Tanggal dan Tahun (Berita Acara/SK)</t>
  </si>
  <si>
    <t>Keterangan Operasional Usaha</t>
  </si>
  <si>
    <t>Belum Beroperasi</t>
  </si>
  <si>
    <t>Olahraga dan Kesenian, Ekonomi Produktif, Keagamaan dan Pemberdayaan Perempuan</t>
  </si>
  <si>
    <t>Th. 2019 s/d 2025</t>
  </si>
  <si>
    <t>Muhammad Sidik</t>
  </si>
  <si>
    <t>Hasubullah</t>
  </si>
  <si>
    <t>Desa Poto Tano</t>
  </si>
  <si>
    <t>SK Kepala Desa Kokarlian No. 01 Tahun 2025</t>
  </si>
  <si>
    <t>02 Januari 2025</t>
  </si>
  <si>
    <t>Siti Aminah</t>
  </si>
  <si>
    <t>Sri Wahyuni</t>
  </si>
  <si>
    <t>SK Kepala Desa Kokarlian Nomor 06 tahun 2025</t>
  </si>
  <si>
    <t>7 Orang</t>
  </si>
  <si>
    <t>6 Orang</t>
  </si>
  <si>
    <t>Ni Nyoman Sumiani</t>
  </si>
  <si>
    <t>Ni Made Ayu Mantini</t>
  </si>
  <si>
    <t>Tambak Sari</t>
  </si>
  <si>
    <t>Tua nanga</t>
  </si>
  <si>
    <t>upt Tambak Sari</t>
  </si>
  <si>
    <t>LAT</t>
  </si>
  <si>
    <t>KDMP</t>
  </si>
  <si>
    <t>Karang Taruna</t>
  </si>
  <si>
    <t>Posyandu</t>
  </si>
  <si>
    <t>PKK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</si>
</sst>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6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1"/>
      <name val="Calibri"/>
      <family val="2"/>
    </font>
    <font>
      <sz val="7"/>
      <name val="Consolas"/>
      <family val="3"/>
    </font>
    <font>
      <sz val="1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/>
    <xf numFmtId="0" fontId="1" fillId="0" borderId="0" xfId="0" quotePrefix="1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/>
    <xf numFmtId="0" fontId="2" fillId="0" borderId="0" xfId="0" applyFont="1" applyAlignment="1">
      <alignment horizontal="left" vertical="center"/>
    </xf>
    <xf numFmtId="0" fontId="1" fillId="0" borderId="0" xfId="0" quotePrefix="1" applyFont="1" applyAlignment="1">
      <alignment vertical="top"/>
    </xf>
    <xf numFmtId="0" fontId="1" fillId="0" borderId="0" xfId="0" quotePrefix="1" applyFont="1" applyAlignment="1">
      <alignment horizontal="center" vertical="top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5" fontId="1" fillId="0" borderId="0" xfId="0" applyNumberFormat="1" applyFont="1" applyAlignment="1">
      <alignment horizontal="left" vertical="top"/>
    </xf>
    <xf numFmtId="0" fontId="4" fillId="0" borderId="0" xfId="1" applyFont="1" applyAlignment="1">
      <alignment vertical="center" wrapText="1"/>
    </xf>
    <xf numFmtId="0" fontId="3" fillId="0" borderId="0" xfId="1"/>
    <xf numFmtId="0" fontId="5" fillId="0" borderId="0" xfId="1" applyFont="1"/>
    <xf numFmtId="0" fontId="3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topLeftCell="M1" workbookViewId="0">
      <selection activeCell="Q3" sqref="Q3:Q10"/>
    </sheetView>
  </sheetViews>
  <sheetFormatPr defaultRowHeight="14"/>
  <cols>
    <col min="1" max="1" width="5.6640625" style="1" customWidth="1"/>
    <col min="2" max="2" width="23.1640625" customWidth="1"/>
    <col min="3" max="3" width="31.08203125" style="2" customWidth="1"/>
    <col min="4" max="4" width="19.6640625" style="1" customWidth="1"/>
    <col min="5" max="5" width="60.6640625" customWidth="1"/>
    <col min="6" max="6" width="23.4140625" style="1" customWidth="1"/>
    <col min="7" max="7" width="26.33203125" customWidth="1"/>
    <col min="8" max="8" width="27.25" customWidth="1"/>
    <col min="9" max="9" width="26.33203125" customWidth="1"/>
    <col min="10" max="10" width="33.9140625" customWidth="1"/>
    <col min="11" max="11" width="28.75" customWidth="1"/>
    <col min="12" max="12" width="31.4140625" customWidth="1"/>
    <col min="13" max="13" width="17.75" style="1" customWidth="1"/>
    <col min="14" max="14" width="33.6640625" style="1" customWidth="1"/>
  </cols>
  <sheetData>
    <row r="1" spans="1:17" s="5" customFormat="1" ht="29.5" customHeight="1">
      <c r="A1" s="14" t="s">
        <v>39</v>
      </c>
      <c r="C1" s="15"/>
      <c r="D1" s="7"/>
      <c r="F1" s="7"/>
      <c r="M1" s="7"/>
      <c r="N1" s="7"/>
    </row>
    <row r="2" spans="1:17" s="25" customFormat="1" ht="47" customHeight="1">
      <c r="A2" s="23" t="s">
        <v>38</v>
      </c>
      <c r="B2" s="24" t="s">
        <v>40</v>
      </c>
      <c r="C2" s="24" t="s">
        <v>0</v>
      </c>
      <c r="D2" s="24" t="s">
        <v>1</v>
      </c>
      <c r="E2" s="24" t="s">
        <v>165</v>
      </c>
      <c r="F2" s="24" t="s">
        <v>51</v>
      </c>
      <c r="G2" s="24" t="s">
        <v>166</v>
      </c>
      <c r="H2" s="24" t="s">
        <v>2</v>
      </c>
      <c r="I2" s="24" t="s">
        <v>52</v>
      </c>
      <c r="J2" s="24" t="s">
        <v>53</v>
      </c>
      <c r="K2" s="24" t="s">
        <v>54</v>
      </c>
      <c r="L2" s="24" t="s">
        <v>4</v>
      </c>
      <c r="M2" s="24" t="s">
        <v>41</v>
      </c>
      <c r="N2" s="24" t="s">
        <v>50</v>
      </c>
    </row>
    <row r="3" spans="1:17" s="10" customFormat="1" ht="25.5" customHeight="1">
      <c r="A3" s="19">
        <v>1</v>
      </c>
      <c r="B3" s="6" t="s">
        <v>5</v>
      </c>
      <c r="C3" s="21" t="s">
        <v>42</v>
      </c>
      <c r="D3" s="4">
        <v>2019</v>
      </c>
      <c r="E3" s="21" t="s">
        <v>49</v>
      </c>
      <c r="F3" s="4" t="s">
        <v>15</v>
      </c>
      <c r="G3" s="4" t="s">
        <v>228</v>
      </c>
      <c r="H3" s="6" t="s">
        <v>67</v>
      </c>
      <c r="I3" s="6" t="s">
        <v>29</v>
      </c>
      <c r="J3" s="6" t="s">
        <v>223</v>
      </c>
      <c r="K3" s="6" t="s">
        <v>224</v>
      </c>
      <c r="L3" s="6" t="s">
        <v>30</v>
      </c>
      <c r="M3" s="4" t="s">
        <v>225</v>
      </c>
      <c r="N3" s="19" t="s">
        <v>73</v>
      </c>
      <c r="O3" s="38">
        <f>INDEX(desa!A:A,MATCH(B3,desa!B:B,0))</f>
        <v>5</v>
      </c>
      <c r="P3" s="39" t="s">
        <v>324</v>
      </c>
      <c r="Q3" s="38" t="str">
        <f>CONCATENATE("('",O3,";",C3,";",D3,";",H3,";",M3,";",N3,";",P3,"'),")</f>
        <v>('5;TP. PKK Desa Senayan;2019;Hj. Tendri Emang;42 Orang;Aktif;PKK'),</v>
      </c>
    </row>
    <row r="4" spans="1:17" s="10" customFormat="1" ht="25.5" customHeight="1">
      <c r="A4" s="19">
        <v>2</v>
      </c>
      <c r="B4" s="6" t="s">
        <v>6</v>
      </c>
      <c r="C4" s="21" t="s">
        <v>43</v>
      </c>
      <c r="D4" s="4">
        <v>2020</v>
      </c>
      <c r="E4" s="21" t="s">
        <v>226</v>
      </c>
      <c r="F4" s="4" t="s">
        <v>202</v>
      </c>
      <c r="G4" s="4" t="s">
        <v>60</v>
      </c>
      <c r="H4" s="6" t="s">
        <v>16</v>
      </c>
      <c r="I4" s="6" t="s">
        <v>17</v>
      </c>
      <c r="J4" s="6" t="s">
        <v>227</v>
      </c>
      <c r="K4" s="6" t="s">
        <v>18</v>
      </c>
      <c r="L4" s="6" t="s">
        <v>19</v>
      </c>
      <c r="M4" s="4" t="s">
        <v>146</v>
      </c>
      <c r="N4" s="19" t="s">
        <v>73</v>
      </c>
      <c r="O4" s="38">
        <f>INDEX(desa!A:A,MATCH(B4,desa!B:B,0))</f>
        <v>3</v>
      </c>
      <c r="P4" s="39" t="s">
        <v>324</v>
      </c>
      <c r="Q4" s="38" t="str">
        <f t="shared" ref="Q4:Q10" si="0">CONCATENATE("('",O4,";",C4,";",D4,";",H4,";",M4,";",N4,";",P4,"'),")</f>
        <v>('3;TP. PKK Desa Mantar;2020;Jaswiah;40 Orang;Aktif;PKK'),</v>
      </c>
    </row>
    <row r="5" spans="1:17" s="10" customFormat="1" ht="25.5" customHeight="1">
      <c r="A5" s="19">
        <v>3</v>
      </c>
      <c r="B5" s="10" t="s">
        <v>7</v>
      </c>
      <c r="C5" s="22" t="s">
        <v>46</v>
      </c>
      <c r="D5" s="19">
        <v>2020</v>
      </c>
      <c r="E5" s="10" t="s">
        <v>55</v>
      </c>
      <c r="F5" s="19" t="s">
        <v>28</v>
      </c>
      <c r="G5" s="4" t="s">
        <v>60</v>
      </c>
      <c r="H5" s="10" t="s">
        <v>20</v>
      </c>
      <c r="I5" s="10" t="s">
        <v>21</v>
      </c>
      <c r="J5" s="10" t="s">
        <v>22</v>
      </c>
      <c r="K5" s="10" t="s">
        <v>23</v>
      </c>
      <c r="L5" s="10" t="s">
        <v>168</v>
      </c>
      <c r="M5" s="19" t="s">
        <v>154</v>
      </c>
      <c r="N5" s="19" t="s">
        <v>73</v>
      </c>
      <c r="O5" s="38">
        <f>INDEX(desa!A:A,MATCH(B5,desa!B:B,0))</f>
        <v>1</v>
      </c>
      <c r="P5" s="39" t="s">
        <v>324</v>
      </c>
      <c r="Q5" s="38" t="str">
        <f t="shared" si="0"/>
        <v>('1;TP. PKK Desa Kiantar;2020;Robiah;41 Orang;Aktif;PKK'),</v>
      </c>
    </row>
    <row r="6" spans="1:17" s="10" customFormat="1" ht="25.5" customHeight="1">
      <c r="A6" s="19">
        <v>4</v>
      </c>
      <c r="B6" s="10" t="s">
        <v>12</v>
      </c>
      <c r="C6" s="22" t="s">
        <v>44</v>
      </c>
      <c r="D6" s="19">
        <v>2023</v>
      </c>
      <c r="E6" s="10" t="s">
        <v>57</v>
      </c>
      <c r="F6" s="19"/>
      <c r="G6" s="4" t="s">
        <v>60</v>
      </c>
      <c r="H6" s="10" t="s">
        <v>83</v>
      </c>
      <c r="M6" s="19"/>
      <c r="N6" s="19" t="s">
        <v>73</v>
      </c>
      <c r="O6" s="38">
        <f>INDEX(desa!A:A,MATCH(B6,desa!B:B,0))</f>
        <v>4</v>
      </c>
      <c r="P6" s="39" t="s">
        <v>324</v>
      </c>
      <c r="Q6" s="38" t="str">
        <f t="shared" si="0"/>
        <v>('4;TP. PKK Desa Poto Tano;2023;Toni Karlina;;Aktif;PKK'),</v>
      </c>
    </row>
    <row r="7" spans="1:17" s="10" customFormat="1" ht="25.5" customHeight="1">
      <c r="A7" s="19">
        <v>5</v>
      </c>
      <c r="B7" s="10" t="s">
        <v>9</v>
      </c>
      <c r="C7" s="22" t="s">
        <v>47</v>
      </c>
      <c r="D7" s="19">
        <v>2019</v>
      </c>
      <c r="E7" s="10" t="s">
        <v>56</v>
      </c>
      <c r="F7" s="19" t="s">
        <v>252</v>
      </c>
      <c r="G7" s="4" t="s">
        <v>60</v>
      </c>
      <c r="H7" s="10" t="s">
        <v>24</v>
      </c>
      <c r="I7" s="10" t="s">
        <v>27</v>
      </c>
      <c r="J7" s="10" t="s">
        <v>253</v>
      </c>
      <c r="K7" s="10" t="s">
        <v>25</v>
      </c>
      <c r="L7" s="10" t="s">
        <v>26</v>
      </c>
      <c r="M7" s="19" t="s">
        <v>254</v>
      </c>
      <c r="N7" s="19" t="s">
        <v>73</v>
      </c>
      <c r="O7" s="38">
        <f>INDEX(desa!A:A,MATCH(B7,desa!B:B,0))</f>
        <v>6</v>
      </c>
      <c r="P7" s="39" t="s">
        <v>324</v>
      </c>
      <c r="Q7" s="38" t="str">
        <f t="shared" si="0"/>
        <v>('6;TP. PKK Desa Tambak Sari;2019;Emi Suriani;36 Orang;Aktif;PKK'),</v>
      </c>
    </row>
    <row r="8" spans="1:17" s="19" customFormat="1" ht="25.5" customHeight="1">
      <c r="A8" s="19">
        <v>6</v>
      </c>
      <c r="B8" s="22" t="s">
        <v>8</v>
      </c>
      <c r="C8" s="22" t="s">
        <v>45</v>
      </c>
      <c r="D8" s="19">
        <v>2019</v>
      </c>
      <c r="E8" s="22" t="s">
        <v>312</v>
      </c>
      <c r="F8" s="19" t="s">
        <v>309</v>
      </c>
      <c r="G8" s="4" t="s">
        <v>60</v>
      </c>
      <c r="H8" s="22" t="s">
        <v>270</v>
      </c>
      <c r="I8" s="22" t="s">
        <v>271</v>
      </c>
      <c r="J8" s="22" t="s">
        <v>272</v>
      </c>
      <c r="K8" s="22" t="s">
        <v>273</v>
      </c>
      <c r="L8" s="22" t="s">
        <v>274</v>
      </c>
      <c r="M8" s="19" t="s">
        <v>275</v>
      </c>
      <c r="N8" s="19" t="s">
        <v>73</v>
      </c>
      <c r="O8" s="38">
        <f>INDEX(desa!A:A,MATCH(B8,desa!B:B,0))</f>
        <v>2</v>
      </c>
      <c r="P8" s="39" t="s">
        <v>324</v>
      </c>
      <c r="Q8" s="38" t="str">
        <f t="shared" si="0"/>
        <v>('2;TP. PKK Desa Kokarlian;2019;Sri Yulianti;32 Orang;Aktif;PKK'),</v>
      </c>
    </row>
    <row r="9" spans="1:17" s="10" customFormat="1" ht="25.5" customHeight="1">
      <c r="A9" s="19">
        <v>7</v>
      </c>
      <c r="B9" s="10" t="s">
        <v>10</v>
      </c>
      <c r="C9" s="10" t="s">
        <v>48</v>
      </c>
      <c r="D9" s="19">
        <v>2019</v>
      </c>
      <c r="E9" s="10" t="s">
        <v>68</v>
      </c>
      <c r="F9" s="19" t="s">
        <v>64</v>
      </c>
      <c r="G9" s="4" t="s">
        <v>60</v>
      </c>
      <c r="H9" s="10" t="s">
        <v>31</v>
      </c>
      <c r="I9" s="10" t="s">
        <v>61</v>
      </c>
      <c r="J9" s="10" t="s">
        <v>62</v>
      </c>
      <c r="K9" s="10" t="s">
        <v>32</v>
      </c>
      <c r="L9" s="10" t="s">
        <v>63</v>
      </c>
      <c r="M9" s="19" t="s">
        <v>69</v>
      </c>
      <c r="N9" s="19" t="s">
        <v>73</v>
      </c>
      <c r="O9" s="38">
        <f>INDEX(desa!A:A,MATCH(B9,desa!B:B,0))</f>
        <v>7</v>
      </c>
      <c r="P9" s="39" t="s">
        <v>324</v>
      </c>
      <c r="Q9" s="38" t="str">
        <f t="shared" si="0"/>
        <v>('7;TP. PKK Desa Tebo;2019;Ida Husnianti;45 Orang;Aktif;PKK'),</v>
      </c>
    </row>
    <row r="10" spans="1:17" s="10" customFormat="1" ht="25.5" customHeight="1">
      <c r="A10" s="19">
        <v>8</v>
      </c>
      <c r="B10" s="10" t="s">
        <v>11</v>
      </c>
      <c r="C10" s="10" t="s">
        <v>59</v>
      </c>
      <c r="D10" s="19">
        <v>2019</v>
      </c>
      <c r="E10" s="10" t="s">
        <v>155</v>
      </c>
      <c r="F10" s="19" t="s">
        <v>33</v>
      </c>
      <c r="G10" s="4" t="s">
        <v>60</v>
      </c>
      <c r="H10" s="10" t="s">
        <v>34</v>
      </c>
      <c r="I10" s="10" t="s">
        <v>35</v>
      </c>
      <c r="J10" s="10" t="s">
        <v>36</v>
      </c>
      <c r="K10" s="10" t="s">
        <v>37</v>
      </c>
      <c r="L10" s="10" t="s">
        <v>167</v>
      </c>
      <c r="M10" s="19" t="s">
        <v>156</v>
      </c>
      <c r="N10" s="19" t="s">
        <v>73</v>
      </c>
      <c r="O10" s="38">
        <f>INDEX(desa!A:A,MATCH(B10,desa!B:B,0))</f>
        <v>8</v>
      </c>
      <c r="P10" s="39" t="s">
        <v>324</v>
      </c>
      <c r="Q10" s="38" t="str">
        <f t="shared" si="0"/>
        <v>('8;TP. PKK Desa Tua Nanga;2019;Hasni;39  orang;Aktif;PKK'),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opLeftCell="J1" workbookViewId="0">
      <selection activeCell="L5" sqref="L5"/>
    </sheetView>
  </sheetViews>
  <sheetFormatPr defaultRowHeight="14"/>
  <cols>
    <col min="1" max="1" width="5.1640625" style="1" customWidth="1"/>
    <col min="2" max="2" width="21.5" customWidth="1"/>
    <col min="3" max="3" width="45.1640625" customWidth="1"/>
    <col min="4" max="4" width="29.75" customWidth="1"/>
    <col min="5" max="5" width="20.4140625" style="1" customWidth="1"/>
    <col min="6" max="6" width="64.1640625" customWidth="1"/>
    <col min="7" max="7" width="25.08203125" style="1" customWidth="1"/>
    <col min="8" max="8" width="25.4140625" customWidth="1"/>
    <col min="9" max="9" width="22.33203125" style="1" customWidth="1"/>
    <col min="10" max="10" width="26.5" style="1" customWidth="1"/>
    <col min="11" max="11" width="15.08203125" customWidth="1"/>
  </cols>
  <sheetData>
    <row r="1" spans="1:14" s="5" customFormat="1" ht="15.5">
      <c r="A1" s="27" t="s">
        <v>173</v>
      </c>
      <c r="E1" s="7"/>
      <c r="G1" s="7"/>
      <c r="I1" s="7"/>
      <c r="J1" s="7"/>
    </row>
    <row r="2" spans="1:14" ht="21.5" customHeight="1"/>
    <row r="3" spans="1:14" s="29" customFormat="1" ht="38.5" customHeight="1">
      <c r="A3" s="28" t="s">
        <v>38</v>
      </c>
      <c r="B3" s="28" t="s">
        <v>75</v>
      </c>
      <c r="C3" s="28" t="s">
        <v>74</v>
      </c>
      <c r="D3" s="28" t="s">
        <v>86</v>
      </c>
      <c r="E3" s="28" t="s">
        <v>1</v>
      </c>
      <c r="F3" s="28" t="s">
        <v>165</v>
      </c>
      <c r="G3" s="28" t="s">
        <v>201</v>
      </c>
      <c r="H3" s="28" t="s">
        <v>169</v>
      </c>
      <c r="I3" s="28" t="s">
        <v>204</v>
      </c>
      <c r="J3" s="28" t="s">
        <v>170</v>
      </c>
      <c r="K3" s="28" t="s">
        <v>76</v>
      </c>
    </row>
    <row r="4" spans="1:14" s="10" customFormat="1" ht="29.5" customHeight="1">
      <c r="A4" s="4">
        <v>1</v>
      </c>
      <c r="B4" s="6" t="s">
        <v>5</v>
      </c>
      <c r="C4" s="21" t="s">
        <v>97</v>
      </c>
      <c r="D4" s="21" t="s">
        <v>101</v>
      </c>
      <c r="E4" s="4"/>
      <c r="F4" s="10" t="s">
        <v>200</v>
      </c>
      <c r="G4" s="4" t="s">
        <v>202</v>
      </c>
      <c r="H4" s="21" t="s">
        <v>206</v>
      </c>
      <c r="I4" s="4" t="s">
        <v>152</v>
      </c>
      <c r="J4" s="4" t="s">
        <v>73</v>
      </c>
      <c r="K4" s="8"/>
      <c r="L4" s="38">
        <f>INDEX(desa!A:A,MATCH(B4,desa!B:B,0))</f>
        <v>5</v>
      </c>
      <c r="M4" s="39" t="s">
        <v>323</v>
      </c>
      <c r="N4" s="38" t="str">
        <f>CONCATENATE("('",L4,";",C4,";",D4,";",H4,";",I4,";",J4,";",M4,"'),")</f>
        <v>('5;Kamboja;Dsn. Ai' Olat;Nabila Hani;8 Orang;Aktif;Posyandu'),</v>
      </c>
    </row>
    <row r="5" spans="1:14" s="10" customFormat="1" ht="29.5" customHeight="1">
      <c r="A5" s="4">
        <v>2</v>
      </c>
      <c r="B5" s="6" t="s">
        <v>5</v>
      </c>
      <c r="C5" s="21" t="s">
        <v>96</v>
      </c>
      <c r="D5" s="21" t="s">
        <v>172</v>
      </c>
      <c r="E5" s="4"/>
      <c r="F5" s="10" t="s">
        <v>200</v>
      </c>
      <c r="G5" s="4" t="s">
        <v>202</v>
      </c>
      <c r="H5" s="21" t="s">
        <v>205</v>
      </c>
      <c r="I5" s="4" t="s">
        <v>152</v>
      </c>
      <c r="J5" s="4" t="s">
        <v>73</v>
      </c>
      <c r="K5" s="8"/>
      <c r="L5" s="38">
        <f>INDEX(desa!A:A,MATCH(B5,desa!B:B,0))</f>
        <v>5</v>
      </c>
      <c r="M5" s="39" t="s">
        <v>323</v>
      </c>
      <c r="N5" s="38" t="str">
        <f t="shared" ref="N5:N28" si="0">CONCATENATE("('",L5,";",C5,";",D5,";",H5,";",I5,";",J5,";",M5,"'),")</f>
        <v>('5;Mawar Putih;Dsn. Senayan Atas;Sartika;8 Orang;Aktif;Posyandu'),</v>
      </c>
    </row>
    <row r="6" spans="1:14" s="10" customFormat="1" ht="29.5" customHeight="1">
      <c r="A6" s="4">
        <v>3</v>
      </c>
      <c r="B6" s="6" t="s">
        <v>5</v>
      </c>
      <c r="C6" s="21" t="s">
        <v>95</v>
      </c>
      <c r="D6" s="21" t="s">
        <v>171</v>
      </c>
      <c r="E6" s="4"/>
      <c r="F6" s="10" t="s">
        <v>200</v>
      </c>
      <c r="G6" s="4" t="s">
        <v>202</v>
      </c>
      <c r="H6" s="21" t="s">
        <v>203</v>
      </c>
      <c r="I6" s="4" t="s">
        <v>152</v>
      </c>
      <c r="J6" s="4" t="s">
        <v>73</v>
      </c>
      <c r="K6" s="8"/>
      <c r="L6" s="38">
        <f>INDEX(desa!A:A,MATCH(B6,desa!B:B,0))</f>
        <v>5</v>
      </c>
      <c r="M6" s="39" t="s">
        <v>323</v>
      </c>
      <c r="N6" s="38" t="str">
        <f t="shared" si="0"/>
        <v>('5;Mawar Merah;Dsn. Senayan Bawah;Muliati;8 Orang;Aktif;Posyandu'),</v>
      </c>
    </row>
    <row r="7" spans="1:14" s="10" customFormat="1" ht="29.5" customHeight="1">
      <c r="A7" s="4">
        <v>4</v>
      </c>
      <c r="B7" s="6" t="s">
        <v>5</v>
      </c>
      <c r="C7" s="21" t="s">
        <v>98</v>
      </c>
      <c r="D7" s="21" t="s">
        <v>102</v>
      </c>
      <c r="E7" s="4"/>
      <c r="F7" s="10" t="s">
        <v>200</v>
      </c>
      <c r="G7" s="4" t="s">
        <v>202</v>
      </c>
      <c r="H7" s="21" t="s">
        <v>126</v>
      </c>
      <c r="I7" s="4" t="s">
        <v>84</v>
      </c>
      <c r="J7" s="4" t="s">
        <v>73</v>
      </c>
      <c r="K7" s="8"/>
      <c r="L7" s="38">
        <f>INDEX(desa!A:A,MATCH(B7,desa!B:B,0))</f>
        <v>5</v>
      </c>
      <c r="M7" s="39" t="s">
        <v>323</v>
      </c>
      <c r="N7" s="38" t="str">
        <f t="shared" si="0"/>
        <v>('5;Cempaka;Dsn. Jembatang Kemar;Nuryani;10 Orang;Aktif;Posyandu'),</v>
      </c>
    </row>
    <row r="8" spans="1:14" s="10" customFormat="1" ht="29.5" customHeight="1">
      <c r="A8" s="4">
        <v>5</v>
      </c>
      <c r="B8" s="6" t="s">
        <v>6</v>
      </c>
      <c r="C8" s="21" t="s">
        <v>208</v>
      </c>
      <c r="D8" s="21" t="s">
        <v>103</v>
      </c>
      <c r="E8" s="4"/>
      <c r="F8" s="10" t="s">
        <v>207</v>
      </c>
      <c r="G8" s="4" t="s">
        <v>179</v>
      </c>
      <c r="H8" s="21" t="s">
        <v>181</v>
      </c>
      <c r="I8" s="4" t="s">
        <v>81</v>
      </c>
      <c r="J8" s="4" t="s">
        <v>73</v>
      </c>
      <c r="K8" s="8"/>
      <c r="L8" s="38">
        <f>INDEX(desa!A:A,MATCH(B8,desa!B:B,0))</f>
        <v>3</v>
      </c>
      <c r="M8" s="39" t="s">
        <v>323</v>
      </c>
      <c r="N8" s="38" t="str">
        <f t="shared" si="0"/>
        <v>('3;TP. Posyandu Tulip;Dsn. Mantar;Roy Rada;15 Orang;Aktif;Posyandu'),</v>
      </c>
    </row>
    <row r="9" spans="1:14" s="10" customFormat="1" ht="29.5" customHeight="1">
      <c r="A9" s="4">
        <v>6</v>
      </c>
      <c r="B9" s="6" t="s">
        <v>6</v>
      </c>
      <c r="C9" s="21" t="s">
        <v>177</v>
      </c>
      <c r="D9" s="21" t="s">
        <v>105</v>
      </c>
      <c r="E9" s="4"/>
      <c r="F9" s="10" t="s">
        <v>178</v>
      </c>
      <c r="G9" s="4" t="s">
        <v>179</v>
      </c>
      <c r="H9" s="21" t="s">
        <v>180</v>
      </c>
      <c r="I9" s="4" t="s">
        <v>81</v>
      </c>
      <c r="J9" s="4" t="s">
        <v>73</v>
      </c>
      <c r="K9" s="8"/>
      <c r="L9" s="38">
        <f>INDEX(desa!A:A,MATCH(B9,desa!B:B,0))</f>
        <v>3</v>
      </c>
      <c r="M9" s="39" t="s">
        <v>323</v>
      </c>
      <c r="N9" s="38" t="str">
        <f t="shared" si="0"/>
        <v>('3;TP. Posyandu Melati;Dsn. Omal sapa;Sanapiah;15 Orang;Aktif;Posyandu'),</v>
      </c>
    </row>
    <row r="10" spans="1:14" s="10" customFormat="1" ht="29.5" customHeight="1">
      <c r="A10" s="4">
        <v>7</v>
      </c>
      <c r="B10" s="6" t="s">
        <v>7</v>
      </c>
      <c r="C10" s="21" t="s">
        <v>99</v>
      </c>
      <c r="D10" s="21" t="s">
        <v>106</v>
      </c>
      <c r="E10" s="4"/>
      <c r="F10" s="10" t="s">
        <v>149</v>
      </c>
      <c r="G10" s="19" t="s">
        <v>150</v>
      </c>
      <c r="H10" s="21" t="s">
        <v>130</v>
      </c>
      <c r="I10" s="4" t="s">
        <v>152</v>
      </c>
      <c r="J10" s="4" t="s">
        <v>73</v>
      </c>
      <c r="K10" s="8"/>
      <c r="L10" s="38">
        <f>INDEX(desa!A:A,MATCH(B10,desa!B:B,0))</f>
        <v>1</v>
      </c>
      <c r="M10" s="39" t="s">
        <v>323</v>
      </c>
      <c r="N10" s="38" t="str">
        <f t="shared" si="0"/>
        <v>('1;Teratai;Dsn. Sagena;Ida Elisah;8 Orang;Aktif;Posyandu'),</v>
      </c>
    </row>
    <row r="11" spans="1:14" s="10" customFormat="1" ht="29.5" customHeight="1">
      <c r="A11" s="4">
        <v>8</v>
      </c>
      <c r="B11" s="6" t="s">
        <v>7</v>
      </c>
      <c r="C11" s="21" t="s">
        <v>100</v>
      </c>
      <c r="D11" s="21" t="s">
        <v>107</v>
      </c>
      <c r="E11" s="4"/>
      <c r="F11" s="10" t="s">
        <v>149</v>
      </c>
      <c r="G11" s="19" t="s">
        <v>150</v>
      </c>
      <c r="H11" s="21" t="s">
        <v>131</v>
      </c>
      <c r="I11" s="4" t="s">
        <v>151</v>
      </c>
      <c r="J11" s="4" t="s">
        <v>73</v>
      </c>
      <c r="K11" s="8"/>
      <c r="L11" s="38">
        <f>INDEX(desa!A:A,MATCH(B11,desa!B:B,0))</f>
        <v>1</v>
      </c>
      <c r="M11" s="39" t="s">
        <v>323</v>
      </c>
      <c r="N11" s="38" t="str">
        <f t="shared" si="0"/>
        <v>('1;Flamboyan;Dsn. Kuang Busir;Hernawati;9 Orang;Aktif;Posyandu'),</v>
      </c>
    </row>
    <row r="12" spans="1:14" s="10" customFormat="1" ht="29.5" customHeight="1">
      <c r="A12" s="4">
        <v>9</v>
      </c>
      <c r="B12" s="6" t="s">
        <v>12</v>
      </c>
      <c r="C12" s="21" t="s">
        <v>164</v>
      </c>
      <c r="D12" s="26" t="s">
        <v>307</v>
      </c>
      <c r="E12" s="4"/>
      <c r="F12" s="10" t="s">
        <v>139</v>
      </c>
      <c r="G12" s="19" t="s">
        <v>93</v>
      </c>
      <c r="H12" s="21" t="s">
        <v>83</v>
      </c>
      <c r="I12" s="4" t="s">
        <v>81</v>
      </c>
      <c r="J12" s="4" t="s">
        <v>73</v>
      </c>
      <c r="K12" s="8"/>
      <c r="L12" s="38">
        <f>INDEX(desa!A:A,MATCH(B12,desa!B:B,0))</f>
        <v>4</v>
      </c>
      <c r="M12" s="39" t="s">
        <v>323</v>
      </c>
      <c r="N12" s="38" t="str">
        <f t="shared" si="0"/>
        <v>('4;TP. Posyandu Tingkat Desa Poto Tano;Desa Poto Tano;Toni Karlina;15 Orang;Aktif;Posyandu'),</v>
      </c>
    </row>
    <row r="13" spans="1:14" s="10" customFormat="1" ht="29.5" customHeight="1">
      <c r="A13" s="4">
        <v>10</v>
      </c>
      <c r="B13" s="6" t="s">
        <v>12</v>
      </c>
      <c r="C13" s="21" t="s">
        <v>133</v>
      </c>
      <c r="D13" s="21" t="s">
        <v>108</v>
      </c>
      <c r="E13" s="19"/>
      <c r="F13" s="10" t="s">
        <v>135</v>
      </c>
      <c r="G13" s="19" t="s">
        <v>93</v>
      </c>
      <c r="H13" s="21" t="s">
        <v>136</v>
      </c>
      <c r="I13" s="19" t="s">
        <v>81</v>
      </c>
      <c r="J13" s="4" t="s">
        <v>73</v>
      </c>
      <c r="L13" s="38">
        <f>INDEX(desa!A:A,MATCH(B13,desa!B:B,0))</f>
        <v>4</v>
      </c>
      <c r="M13" s="39" t="s">
        <v>323</v>
      </c>
      <c r="N13" s="38" t="str">
        <f t="shared" si="0"/>
        <v>('4;TP. Posyandu Sedap Malam A;Dsn. Poto Tano A;Abdul Kadir;15 Orang;Aktif;Posyandu'),</v>
      </c>
    </row>
    <row r="14" spans="1:14" s="10" customFormat="1" ht="29.5" customHeight="1">
      <c r="A14" s="4">
        <v>11</v>
      </c>
      <c r="B14" s="6" t="s">
        <v>12</v>
      </c>
      <c r="C14" s="21" t="s">
        <v>134</v>
      </c>
      <c r="D14" s="21" t="s">
        <v>109</v>
      </c>
      <c r="E14" s="19"/>
      <c r="F14" s="10" t="s">
        <v>137</v>
      </c>
      <c r="G14" s="19" t="s">
        <v>93</v>
      </c>
      <c r="H14" s="22" t="s">
        <v>138</v>
      </c>
      <c r="I14" s="19" t="s">
        <v>81</v>
      </c>
      <c r="J14" s="4" t="s">
        <v>73</v>
      </c>
      <c r="L14" s="38">
        <f>INDEX(desa!A:A,MATCH(B14,desa!B:B,0))</f>
        <v>4</v>
      </c>
      <c r="M14" s="39" t="s">
        <v>323</v>
      </c>
      <c r="N14" s="38" t="str">
        <f t="shared" si="0"/>
        <v>('4;TP. Posyandu Sedap Malam B;Dsn. Poto Tano B;Ismail;15 Orang;Aktif;Posyandu'),</v>
      </c>
    </row>
    <row r="15" spans="1:14" s="10" customFormat="1" ht="29.5" customHeight="1">
      <c r="A15" s="4">
        <v>12</v>
      </c>
      <c r="B15" s="6" t="s">
        <v>12</v>
      </c>
      <c r="C15" s="10" t="s">
        <v>91</v>
      </c>
      <c r="D15" s="21" t="s">
        <v>110</v>
      </c>
      <c r="E15" s="19"/>
      <c r="F15" s="10" t="s">
        <v>94</v>
      </c>
      <c r="G15" s="19" t="s">
        <v>93</v>
      </c>
      <c r="H15" s="21" t="s">
        <v>92</v>
      </c>
      <c r="I15" s="19" t="s">
        <v>81</v>
      </c>
      <c r="J15" s="19" t="s">
        <v>73</v>
      </c>
      <c r="L15" s="38">
        <f>INDEX(desa!A:A,MATCH(B15,desa!B:B,0))</f>
        <v>4</v>
      </c>
      <c r="M15" s="39" t="s">
        <v>323</v>
      </c>
      <c r="N15" s="38" t="str">
        <f t="shared" si="0"/>
        <v>('4;Pasir Putih;Dsn. Pinamin;Kamaruddin;15 Orang;Aktif;Posyandu'),</v>
      </c>
    </row>
    <row r="16" spans="1:14" s="10" customFormat="1" ht="29.5" customHeight="1">
      <c r="A16" s="4">
        <v>13</v>
      </c>
      <c r="B16" s="6" t="s">
        <v>9</v>
      </c>
      <c r="C16" s="21" t="s">
        <v>111</v>
      </c>
      <c r="D16" s="21" t="s">
        <v>113</v>
      </c>
      <c r="E16" s="8"/>
      <c r="F16" s="10" t="s">
        <v>255</v>
      </c>
      <c r="G16" s="4" t="s">
        <v>202</v>
      </c>
      <c r="H16" s="21" t="s">
        <v>256</v>
      </c>
      <c r="I16" s="4" t="s">
        <v>84</v>
      </c>
      <c r="J16" s="19" t="s">
        <v>73</v>
      </c>
      <c r="K16" s="8"/>
      <c r="L16" s="38">
        <f>INDEX(desa!A:A,MATCH(B16,desa!B:B,0))</f>
        <v>6</v>
      </c>
      <c r="M16" s="39" t="s">
        <v>323</v>
      </c>
      <c r="N16" s="38" t="str">
        <f t="shared" si="0"/>
        <v>('6;Bougenville A;Dsn. Tambak Sari;Marnah;10 Orang;Aktif;Posyandu'),</v>
      </c>
    </row>
    <row r="17" spans="1:14" s="10" customFormat="1" ht="29.5" customHeight="1">
      <c r="A17" s="4">
        <v>14</v>
      </c>
      <c r="B17" s="6" t="s">
        <v>9</v>
      </c>
      <c r="C17" s="21" t="s">
        <v>112</v>
      </c>
      <c r="D17" s="21" t="s">
        <v>113</v>
      </c>
      <c r="E17" s="8"/>
      <c r="F17" s="10" t="s">
        <v>257</v>
      </c>
      <c r="G17" s="4" t="s">
        <v>202</v>
      </c>
      <c r="H17" s="21" t="s">
        <v>127</v>
      </c>
      <c r="I17" s="8"/>
      <c r="J17" s="4" t="s">
        <v>73</v>
      </c>
      <c r="K17" s="8"/>
      <c r="L17" s="38">
        <f>INDEX(desa!A:A,MATCH(B17,desa!B:B,0))</f>
        <v>6</v>
      </c>
      <c r="M17" s="39" t="s">
        <v>323</v>
      </c>
      <c r="N17" s="38" t="str">
        <f t="shared" si="0"/>
        <v>('6;Bougenville B;Dsn. Tambak Sari;Nurhasanah;;Aktif;Posyandu'),</v>
      </c>
    </row>
    <row r="18" spans="1:14" s="10" customFormat="1" ht="29.5" customHeight="1">
      <c r="A18" s="4">
        <v>15</v>
      </c>
      <c r="B18" s="6" t="s">
        <v>8</v>
      </c>
      <c r="C18" s="21" t="s">
        <v>114</v>
      </c>
      <c r="D18" s="21" t="s">
        <v>104</v>
      </c>
      <c r="E18" s="19"/>
      <c r="F18" s="10" t="s">
        <v>308</v>
      </c>
      <c r="G18" s="19" t="s">
        <v>309</v>
      </c>
      <c r="H18" s="21" t="s">
        <v>310</v>
      </c>
      <c r="I18" s="19" t="s">
        <v>313</v>
      </c>
      <c r="J18" s="4" t="s">
        <v>73</v>
      </c>
      <c r="L18" s="38">
        <f>INDEX(desa!A:A,MATCH(B18,desa!B:B,0))</f>
        <v>2</v>
      </c>
      <c r="M18" s="39" t="s">
        <v>323</v>
      </c>
      <c r="N18" s="38" t="str">
        <f t="shared" si="0"/>
        <v>('2;Asoka;Dsn. Kokarlian;Siti Aminah;7 Orang;Aktif;Posyandu'),</v>
      </c>
    </row>
    <row r="19" spans="1:14" s="10" customFormat="1" ht="29.5" customHeight="1">
      <c r="A19" s="4">
        <v>20</v>
      </c>
      <c r="B19" s="6" t="s">
        <v>8</v>
      </c>
      <c r="C19" s="21" t="s">
        <v>122</v>
      </c>
      <c r="D19" s="21" t="s">
        <v>116</v>
      </c>
      <c r="E19" s="19"/>
      <c r="F19" s="10" t="s">
        <v>308</v>
      </c>
      <c r="G19" s="19" t="s">
        <v>309</v>
      </c>
      <c r="H19" s="21" t="s">
        <v>311</v>
      </c>
      <c r="I19" s="19" t="s">
        <v>314</v>
      </c>
      <c r="J19" s="4" t="s">
        <v>73</v>
      </c>
      <c r="L19" s="38">
        <f>INDEX(desa!A:A,MATCH(B19,desa!B:B,0))</f>
        <v>2</v>
      </c>
      <c r="M19" s="39" t="s">
        <v>323</v>
      </c>
      <c r="N19" s="38" t="str">
        <f t="shared" si="0"/>
        <v>('2;Sakura;Dsn. Daya Makmur;Sri Wahyuni;6 Orang;Aktif;Posyandu'),</v>
      </c>
    </row>
    <row r="20" spans="1:14" s="10" customFormat="1" ht="29.5" customHeight="1">
      <c r="A20" s="4">
        <v>16</v>
      </c>
      <c r="B20" s="6" t="s">
        <v>8</v>
      </c>
      <c r="C20" s="21" t="s">
        <v>115</v>
      </c>
      <c r="D20" s="21" t="s">
        <v>116</v>
      </c>
      <c r="E20" s="19"/>
      <c r="F20" s="10" t="s">
        <v>308</v>
      </c>
      <c r="G20" s="19" t="s">
        <v>309</v>
      </c>
      <c r="H20" s="21" t="s">
        <v>128</v>
      </c>
      <c r="I20" s="19" t="s">
        <v>314</v>
      </c>
      <c r="J20" s="4" t="s">
        <v>73</v>
      </c>
      <c r="L20" s="38">
        <f>INDEX(desa!A:A,MATCH(B20,desa!B:B,0))</f>
        <v>2</v>
      </c>
      <c r="M20" s="39" t="s">
        <v>323</v>
      </c>
      <c r="N20" s="38" t="str">
        <f t="shared" si="0"/>
        <v>('2;Dahlia;Dsn. Daya Makmur;Fitria Ningsih;6 Orang;Aktif;Posyandu'),</v>
      </c>
    </row>
    <row r="21" spans="1:14" s="10" customFormat="1" ht="29.5" customHeight="1">
      <c r="A21" s="4">
        <v>18</v>
      </c>
      <c r="B21" s="6" t="s">
        <v>8</v>
      </c>
      <c r="C21" s="21" t="s">
        <v>119</v>
      </c>
      <c r="D21" s="21" t="s">
        <v>120</v>
      </c>
      <c r="E21" s="19"/>
      <c r="F21" s="10" t="s">
        <v>308</v>
      </c>
      <c r="G21" s="19" t="s">
        <v>309</v>
      </c>
      <c r="H21" s="21" t="s">
        <v>315</v>
      </c>
      <c r="I21" s="19" t="s">
        <v>314</v>
      </c>
      <c r="J21" s="4" t="s">
        <v>73</v>
      </c>
      <c r="L21" s="38">
        <f>INDEX(desa!A:A,MATCH(B21,desa!B:B,0))</f>
        <v>2</v>
      </c>
      <c r="M21" s="39" t="s">
        <v>323</v>
      </c>
      <c r="N21" s="38" t="str">
        <f t="shared" si="0"/>
        <v>('2;Edelwais;Dsn. Budisari;Ni Nyoman Sumiani;6 Orang;Aktif;Posyandu'),</v>
      </c>
    </row>
    <row r="22" spans="1:14" s="10" customFormat="1" ht="29.5" customHeight="1">
      <c r="A22" s="4">
        <v>19</v>
      </c>
      <c r="B22" s="6" t="s">
        <v>8</v>
      </c>
      <c r="C22" s="21" t="s">
        <v>121</v>
      </c>
      <c r="D22" s="21" t="s">
        <v>118</v>
      </c>
      <c r="E22" s="19"/>
      <c r="F22" s="10" t="s">
        <v>308</v>
      </c>
      <c r="G22" s="19" t="s">
        <v>309</v>
      </c>
      <c r="H22" s="21" t="s">
        <v>316</v>
      </c>
      <c r="I22" s="19" t="s">
        <v>314</v>
      </c>
      <c r="J22" s="4" t="s">
        <v>73</v>
      </c>
      <c r="L22" s="38">
        <f>INDEX(desa!A:A,MATCH(B22,desa!B:B,0))</f>
        <v>2</v>
      </c>
      <c r="M22" s="39" t="s">
        <v>323</v>
      </c>
      <c r="N22" s="38" t="str">
        <f t="shared" si="0"/>
        <v>('2;Seroja;Dsn. Samarekat;Ni Made Ayu Mantini;6 Orang;Aktif;Posyandu'),</v>
      </c>
    </row>
    <row r="23" spans="1:14" s="10" customFormat="1" ht="29.5" customHeight="1">
      <c r="A23" s="4">
        <v>17</v>
      </c>
      <c r="B23" s="6" t="s">
        <v>8</v>
      </c>
      <c r="C23" s="21" t="s">
        <v>117</v>
      </c>
      <c r="D23" s="21" t="s">
        <v>118</v>
      </c>
      <c r="E23" s="19"/>
      <c r="F23" s="10" t="s">
        <v>308</v>
      </c>
      <c r="G23" s="19" t="s">
        <v>309</v>
      </c>
      <c r="H23" s="21" t="s">
        <v>129</v>
      </c>
      <c r="I23" s="19" t="s">
        <v>314</v>
      </c>
      <c r="J23" s="4" t="s">
        <v>73</v>
      </c>
      <c r="L23" s="38">
        <f>INDEX(desa!A:A,MATCH(B23,desa!B:B,0))</f>
        <v>2</v>
      </c>
      <c r="M23" s="39" t="s">
        <v>323</v>
      </c>
      <c r="N23" s="38" t="str">
        <f t="shared" si="0"/>
        <v>('2;Matahari;Dsn. Samarekat;Nyoman Irayani;6 Orang;Aktif;Posyandu'),</v>
      </c>
    </row>
    <row r="24" spans="1:14" s="10" customFormat="1" ht="29.5" customHeight="1">
      <c r="A24" s="4">
        <v>21</v>
      </c>
      <c r="B24" s="6" t="s">
        <v>10</v>
      </c>
      <c r="C24" s="6" t="s">
        <v>78</v>
      </c>
      <c r="D24" s="6" t="s">
        <v>239</v>
      </c>
      <c r="E24" s="4"/>
      <c r="F24" s="6" t="s">
        <v>79</v>
      </c>
      <c r="G24" s="33" t="s">
        <v>238</v>
      </c>
      <c r="H24" s="6" t="s">
        <v>80</v>
      </c>
      <c r="I24" s="4" t="s">
        <v>81</v>
      </c>
      <c r="J24" s="4" t="s">
        <v>73</v>
      </c>
      <c r="K24" s="6" t="s">
        <v>77</v>
      </c>
      <c r="L24" s="38">
        <f>INDEX(desa!A:A,MATCH(B24,desa!B:B,0))</f>
        <v>7</v>
      </c>
      <c r="M24" s="39" t="s">
        <v>323</v>
      </c>
      <c r="N24" s="38" t="str">
        <f t="shared" si="0"/>
        <v>('7;Posyandu Delima A;Dsn. Balaman Permai;Syafruddin;15 Orang;Aktif;Posyandu'),</v>
      </c>
    </row>
    <row r="25" spans="1:14" s="10" customFormat="1" ht="29.5" customHeight="1">
      <c r="A25" s="4">
        <v>22</v>
      </c>
      <c r="B25" s="6" t="s">
        <v>10</v>
      </c>
      <c r="C25" s="6" t="s">
        <v>82</v>
      </c>
      <c r="D25" s="6" t="s">
        <v>239</v>
      </c>
      <c r="E25" s="4"/>
      <c r="F25" s="6" t="s">
        <v>87</v>
      </c>
      <c r="G25" s="34" t="s">
        <v>237</v>
      </c>
      <c r="H25" s="6" t="s">
        <v>85</v>
      </c>
      <c r="I25" s="4" t="s">
        <v>84</v>
      </c>
      <c r="J25" s="4" t="s">
        <v>73</v>
      </c>
      <c r="K25" s="6" t="s">
        <v>77</v>
      </c>
      <c r="L25" s="38">
        <f>INDEX(desa!A:A,MATCH(B25,desa!B:B,0))</f>
        <v>7</v>
      </c>
      <c r="M25" s="39" t="s">
        <v>323</v>
      </c>
      <c r="N25" s="38" t="str">
        <f t="shared" si="0"/>
        <v>('7;Posyandu Delima B;Dsn. Balaman Permai;Suharni;10 Orang;Aktif;Posyandu'),</v>
      </c>
    </row>
    <row r="26" spans="1:14" s="10" customFormat="1" ht="29.5" customHeight="1">
      <c r="A26" s="4">
        <v>23</v>
      </c>
      <c r="B26" s="6" t="s">
        <v>88</v>
      </c>
      <c r="C26" s="21" t="s">
        <v>123</v>
      </c>
      <c r="D26" s="21" t="s">
        <v>174</v>
      </c>
      <c r="E26" s="4"/>
      <c r="F26" s="10" t="s">
        <v>235</v>
      </c>
      <c r="G26" s="19" t="s">
        <v>234</v>
      </c>
      <c r="H26" s="21" t="s">
        <v>132</v>
      </c>
      <c r="I26" s="19" t="s">
        <v>144</v>
      </c>
      <c r="J26" s="19" t="s">
        <v>73</v>
      </c>
      <c r="L26" s="38">
        <f>INDEX(desa!A:A,MATCH(B26,desa!B:B,0))</f>
        <v>8</v>
      </c>
      <c r="M26" s="39" t="s">
        <v>323</v>
      </c>
      <c r="N26" s="38" t="str">
        <f t="shared" si="0"/>
        <v>('8;Anggrek Ungu;Dsn. Tua Nanga;Fatih Anggaraini;5 Orang;Aktif;Posyandu'),</v>
      </c>
    </row>
    <row r="27" spans="1:14" s="10" customFormat="1" ht="29.5" customHeight="1">
      <c r="A27" s="4">
        <v>24</v>
      </c>
      <c r="B27" s="6" t="s">
        <v>88</v>
      </c>
      <c r="C27" s="21" t="s">
        <v>124</v>
      </c>
      <c r="D27" s="21" t="s">
        <v>175</v>
      </c>
      <c r="E27" s="4"/>
      <c r="F27" s="10" t="s">
        <v>235</v>
      </c>
      <c r="G27" s="19" t="s">
        <v>234</v>
      </c>
      <c r="H27" s="21" t="s">
        <v>35</v>
      </c>
      <c r="I27" s="19" t="s">
        <v>144</v>
      </c>
      <c r="J27" s="19" t="s">
        <v>73</v>
      </c>
      <c r="L27" s="38">
        <f>INDEX(desa!A:A,MATCH(B27,desa!B:B,0))</f>
        <v>8</v>
      </c>
      <c r="M27" s="39" t="s">
        <v>323</v>
      </c>
      <c r="N27" s="38" t="str">
        <f t="shared" si="0"/>
        <v>('8;Anggrek Putih;Dsn. Bage Manis;Rusmiati;5 Orang;Aktif;Posyandu'),</v>
      </c>
    </row>
    <row r="28" spans="1:14" s="10" customFormat="1" ht="29.5" customHeight="1">
      <c r="A28" s="4">
        <v>25</v>
      </c>
      <c r="B28" s="6" t="s">
        <v>88</v>
      </c>
      <c r="C28" s="21" t="s">
        <v>125</v>
      </c>
      <c r="D28" s="21" t="s">
        <v>176</v>
      </c>
      <c r="E28" s="4"/>
      <c r="F28" s="10" t="s">
        <v>235</v>
      </c>
      <c r="G28" s="19" t="s">
        <v>234</v>
      </c>
      <c r="H28" s="21" t="s">
        <v>236</v>
      </c>
      <c r="I28" s="19" t="s">
        <v>144</v>
      </c>
      <c r="J28" s="19" t="s">
        <v>73</v>
      </c>
      <c r="L28" s="38">
        <f>INDEX(desa!A:A,MATCH(B28,desa!B:B,0))</f>
        <v>8</v>
      </c>
      <c r="M28" s="39" t="s">
        <v>323</v>
      </c>
      <c r="N28" s="38" t="str">
        <f t="shared" si="0"/>
        <v>('8;Kemang Kele;Dsn. Bangka Bela;Nurmawati;5 Orang;Aktif;Posyandu'),</v>
      </c>
    </row>
    <row r="29" spans="1:14" s="5" customFormat="1" ht="15.5">
      <c r="A29" s="7"/>
      <c r="E29" s="7"/>
      <c r="G29" s="7"/>
      <c r="I29" s="7"/>
      <c r="J29" s="7"/>
    </row>
    <row r="30" spans="1:14" s="5" customFormat="1" ht="15.5">
      <c r="A30" s="7"/>
      <c r="E30" s="7"/>
      <c r="G30" s="7"/>
      <c r="I30" s="7"/>
      <c r="J30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opLeftCell="J1" workbookViewId="0">
      <selection activeCell="M5" sqref="M5"/>
    </sheetView>
  </sheetViews>
  <sheetFormatPr defaultRowHeight="14"/>
  <cols>
    <col min="1" max="1" width="5.4140625" style="1" customWidth="1"/>
    <col min="2" max="2" width="22.4140625" customWidth="1"/>
    <col min="3" max="3" width="42.83203125" customWidth="1"/>
    <col min="4" max="4" width="20.33203125" style="1" customWidth="1"/>
    <col min="5" max="5" width="61.33203125" customWidth="1"/>
    <col min="6" max="6" width="26.75" customWidth="1"/>
    <col min="7" max="7" width="33.5" style="1" customWidth="1"/>
    <col min="8" max="8" width="32.08203125" customWidth="1"/>
    <col min="9" max="9" width="22.75" style="1" customWidth="1"/>
    <col min="10" max="10" width="53.25" customWidth="1"/>
    <col min="11" max="11" width="33.4140625" style="1" customWidth="1"/>
  </cols>
  <sheetData>
    <row r="1" spans="1:15" s="10" customFormat="1" ht="34" customHeight="1">
      <c r="A1" s="30" t="s">
        <v>58</v>
      </c>
      <c r="D1" s="19"/>
      <c r="G1" s="19"/>
      <c r="I1" s="19"/>
      <c r="K1" s="19"/>
    </row>
    <row r="2" spans="1:15" s="5" customFormat="1" ht="31">
      <c r="A2" s="8" t="s">
        <v>13</v>
      </c>
      <c r="B2" s="8" t="s">
        <v>40</v>
      </c>
      <c r="C2" s="8" t="s">
        <v>14</v>
      </c>
      <c r="D2" s="8" t="s">
        <v>1</v>
      </c>
      <c r="E2" s="8" t="s">
        <v>165</v>
      </c>
      <c r="F2" s="8" t="s">
        <v>213</v>
      </c>
      <c r="G2" s="8" t="s">
        <v>210</v>
      </c>
      <c r="H2" s="8" t="s">
        <v>2</v>
      </c>
      <c r="I2" s="8" t="s">
        <v>3</v>
      </c>
      <c r="J2" s="8" t="s">
        <v>72</v>
      </c>
      <c r="K2" s="8" t="s">
        <v>189</v>
      </c>
    </row>
    <row r="3" spans="1:15" s="5" customFormat="1" ht="15.5">
      <c r="A3" s="4"/>
      <c r="B3" s="6"/>
      <c r="C3" s="6"/>
      <c r="D3" s="7"/>
      <c r="E3" s="6"/>
      <c r="F3" s="6"/>
      <c r="G3" s="4"/>
      <c r="H3" s="6"/>
      <c r="I3" s="4"/>
      <c r="J3" s="6"/>
      <c r="K3" s="4"/>
    </row>
    <row r="4" spans="1:15" s="20" customFormat="1" ht="33.5" customHeight="1">
      <c r="A4" s="18">
        <v>1</v>
      </c>
      <c r="B4" s="17" t="s">
        <v>5</v>
      </c>
      <c r="C4" s="17" t="s">
        <v>209</v>
      </c>
      <c r="D4" s="18">
        <v>2018</v>
      </c>
      <c r="E4" s="17" t="s">
        <v>212</v>
      </c>
      <c r="F4" s="17" t="s">
        <v>216</v>
      </c>
      <c r="G4" s="18" t="s">
        <v>211</v>
      </c>
      <c r="H4" s="17" t="s">
        <v>214</v>
      </c>
      <c r="I4" s="18" t="s">
        <v>215</v>
      </c>
      <c r="J4" s="17" t="s">
        <v>217</v>
      </c>
      <c r="K4" s="18" t="s">
        <v>73</v>
      </c>
      <c r="M4" s="38">
        <f>INDEX(desa!A:A,MATCH(B4,desa!B:B,0))</f>
        <v>5</v>
      </c>
      <c r="N4" s="39" t="s">
        <v>322</v>
      </c>
      <c r="O4" s="38" t="str">
        <f>CONCATENATE("('",M4,";",C4,";",D4,";",H4,";",I4,";",K4,";",N4,"'),")</f>
        <v>('5;Batu Wali;2018;Khairul Rijal A. Malik. A.Md;13 Orang;Aktif;Karang Taruna'),</v>
      </c>
    </row>
    <row r="5" spans="1:15" s="20" customFormat="1" ht="25.5" customHeight="1">
      <c r="A5" s="16">
        <v>2</v>
      </c>
      <c r="B5" s="20" t="s">
        <v>6</v>
      </c>
      <c r="C5" s="17" t="s">
        <v>182</v>
      </c>
      <c r="D5" s="16">
        <v>2019</v>
      </c>
      <c r="E5" s="20" t="s">
        <v>183</v>
      </c>
      <c r="F5" s="20" t="s">
        <v>184</v>
      </c>
      <c r="G5" s="16"/>
      <c r="H5" s="20" t="s">
        <v>185</v>
      </c>
      <c r="I5" s="16" t="s">
        <v>186</v>
      </c>
      <c r="J5" s="20" t="s">
        <v>187</v>
      </c>
      <c r="K5" s="16" t="s">
        <v>73</v>
      </c>
      <c r="M5" s="38">
        <f>INDEX(desa!A:A,MATCH(B5,desa!B:B,0))</f>
        <v>3</v>
      </c>
      <c r="N5" s="39" t="s">
        <v>322</v>
      </c>
      <c r="O5" s="38" t="str">
        <f t="shared" ref="O5:O11" si="0">CONCATENATE("('",M5,";",C5,";",D5,";",H5,";",I5,";",K5,";",N5,"'),")</f>
        <v>('3;Angin Renas Gunung Mantar (ARGM);2019;Burhanuddin;21 Orang;Aktif;Karang Taruna'),</v>
      </c>
    </row>
    <row r="6" spans="1:15" s="20" customFormat="1" ht="25.5" customHeight="1">
      <c r="A6" s="16">
        <v>3</v>
      </c>
      <c r="B6" s="20" t="s">
        <v>7</v>
      </c>
      <c r="C6" s="20" t="s">
        <v>190</v>
      </c>
      <c r="D6" s="16">
        <v>2020</v>
      </c>
      <c r="E6" s="20" t="s">
        <v>55</v>
      </c>
      <c r="F6" s="35" t="s">
        <v>28</v>
      </c>
      <c r="G6" s="16"/>
      <c r="I6" s="16" t="s">
        <v>188</v>
      </c>
      <c r="J6" s="20" t="s">
        <v>192</v>
      </c>
      <c r="K6" s="16" t="s">
        <v>73</v>
      </c>
      <c r="M6" s="38">
        <f>INDEX(desa!A:A,MATCH(B6,desa!B:B,0))</f>
        <v>1</v>
      </c>
      <c r="N6" s="39" t="s">
        <v>322</v>
      </c>
      <c r="O6" s="38" t="str">
        <f t="shared" si="0"/>
        <v>('1;Basema Kiantar;2020;;26 Orang;Aktif;Karang Taruna'),</v>
      </c>
    </row>
    <row r="7" spans="1:15" s="20" customFormat="1" ht="25.5" customHeight="1">
      <c r="A7" s="16">
        <v>4</v>
      </c>
      <c r="B7" s="20" t="s">
        <v>12</v>
      </c>
      <c r="C7" s="20" t="s">
        <v>191</v>
      </c>
      <c r="D7" s="16">
        <v>2020</v>
      </c>
      <c r="E7" s="20" t="s">
        <v>262</v>
      </c>
      <c r="F7" s="20" t="s">
        <v>89</v>
      </c>
      <c r="G7" s="16"/>
      <c r="H7" s="20" t="s">
        <v>90</v>
      </c>
      <c r="I7" s="16" t="s">
        <v>153</v>
      </c>
      <c r="J7" s="20" t="s">
        <v>267</v>
      </c>
      <c r="K7" s="16" t="s">
        <v>73</v>
      </c>
      <c r="M7" s="38">
        <f>INDEX(desa!A:A,MATCH(B7,desa!B:B,0))</f>
        <v>4</v>
      </c>
      <c r="N7" s="39" t="s">
        <v>322</v>
      </c>
      <c r="O7" s="38" t="str">
        <f t="shared" si="0"/>
        <v>('4;Karang Taruna Desa Poto Tano;2020;Mustar;31 Orang;Aktif;Karang Taruna'),</v>
      </c>
    </row>
    <row r="8" spans="1:15" s="20" customFormat="1" ht="37" customHeight="1">
      <c r="A8" s="16">
        <v>5</v>
      </c>
      <c r="B8" s="20" t="s">
        <v>9</v>
      </c>
      <c r="C8" s="20" t="s">
        <v>243</v>
      </c>
      <c r="D8" s="16">
        <v>2024</v>
      </c>
      <c r="E8" s="20" t="s">
        <v>244</v>
      </c>
      <c r="F8" s="20" t="s">
        <v>245</v>
      </c>
      <c r="G8" s="16" t="s">
        <v>246</v>
      </c>
      <c r="H8" s="20" t="s">
        <v>247</v>
      </c>
      <c r="I8" s="16" t="s">
        <v>248</v>
      </c>
      <c r="J8" s="17" t="s">
        <v>268</v>
      </c>
      <c r="K8" s="16" t="s">
        <v>73</v>
      </c>
      <c r="M8" s="38">
        <f>INDEX(desa!A:A,MATCH(B8,desa!B:B,0))</f>
        <v>6</v>
      </c>
      <c r="N8" s="39" t="s">
        <v>322</v>
      </c>
      <c r="O8" s="38" t="str">
        <f t="shared" si="0"/>
        <v>('6;Detari;2024;Miftah Sholihin, S.Pd;24 Orang;Aktif;Karang Taruna'),</v>
      </c>
    </row>
    <row r="9" spans="1:15" s="20" customFormat="1" ht="25.5" customHeight="1">
      <c r="A9" s="16">
        <v>6</v>
      </c>
      <c r="B9" s="20" t="s">
        <v>8</v>
      </c>
      <c r="C9" s="20" t="s">
        <v>147</v>
      </c>
      <c r="D9" s="16">
        <v>2020</v>
      </c>
      <c r="G9" s="16"/>
      <c r="H9" s="20" t="s">
        <v>148</v>
      </c>
      <c r="I9" s="16" t="s">
        <v>269</v>
      </c>
      <c r="J9" s="20" t="s">
        <v>192</v>
      </c>
      <c r="K9" s="16" t="s">
        <v>73</v>
      </c>
      <c r="M9" s="38">
        <f>INDEX(desa!A:A,MATCH(B9,desa!B:B,0))</f>
        <v>2</v>
      </c>
      <c r="N9" s="39" t="s">
        <v>322</v>
      </c>
      <c r="O9" s="38" t="str">
        <f t="shared" si="0"/>
        <v>('2;Nusantara;2020;Amirollah;25 Orang;Aktif;Karang Taruna'),</v>
      </c>
    </row>
    <row r="10" spans="1:15" s="20" customFormat="1" ht="25.5" customHeight="1">
      <c r="A10" s="16">
        <v>7</v>
      </c>
      <c r="B10" s="20" t="s">
        <v>10</v>
      </c>
      <c r="C10" s="20" t="s">
        <v>65</v>
      </c>
      <c r="D10" s="16">
        <v>2023</v>
      </c>
      <c r="E10" s="20" t="s">
        <v>70</v>
      </c>
      <c r="F10" s="20" t="s">
        <v>263</v>
      </c>
      <c r="G10" s="16"/>
      <c r="H10" s="20" t="s">
        <v>66</v>
      </c>
      <c r="I10" s="16" t="s">
        <v>71</v>
      </c>
      <c r="J10" s="20" t="s">
        <v>192</v>
      </c>
      <c r="K10" s="16" t="s">
        <v>73</v>
      </c>
      <c r="M10" s="38">
        <f>INDEX(desa!A:A,MATCH(B10,desa!B:B,0))</f>
        <v>7</v>
      </c>
      <c r="N10" s="39" t="s">
        <v>322</v>
      </c>
      <c r="O10" s="38" t="str">
        <f t="shared" si="0"/>
        <v>('7;Gerakan Pemuda Bersatu;2023;Sudarmono;11 Orang;Aktif;Karang Taruna'),</v>
      </c>
    </row>
    <row r="11" spans="1:15" s="20" customFormat="1" ht="45.5" customHeight="1">
      <c r="A11" s="16">
        <v>8</v>
      </c>
      <c r="B11" s="20" t="s">
        <v>11</v>
      </c>
      <c r="C11" s="20" t="s">
        <v>193</v>
      </c>
      <c r="D11" s="16">
        <v>2020</v>
      </c>
      <c r="E11" s="20" t="s">
        <v>264</v>
      </c>
      <c r="F11" s="20" t="s">
        <v>33</v>
      </c>
      <c r="G11" s="16" t="s">
        <v>304</v>
      </c>
      <c r="H11" s="20" t="s">
        <v>265</v>
      </c>
      <c r="I11" s="16" t="s">
        <v>266</v>
      </c>
      <c r="J11" s="17" t="s">
        <v>303</v>
      </c>
      <c r="K11" s="16" t="s">
        <v>73</v>
      </c>
      <c r="M11" s="38">
        <f>INDEX(desa!A:A,MATCH(B11,desa!B:B,0))</f>
        <v>8</v>
      </c>
      <c r="N11" s="39" t="s">
        <v>322</v>
      </c>
      <c r="O11" s="38" t="str">
        <f t="shared" si="0"/>
        <v>('8;Karang Taruna Desa Tua Nanga;2020;Syamsul;14 Orang;Aktif;Karang Taruna'),</v>
      </c>
    </row>
    <row r="12" spans="1:15" s="5" customFormat="1" ht="15.5">
      <c r="A12" s="7"/>
      <c r="D12" s="7"/>
      <c r="G12" s="7"/>
      <c r="I12" s="7"/>
      <c r="K12" s="7"/>
    </row>
    <row r="13" spans="1:15" s="5" customFormat="1" ht="15.5">
      <c r="A13" s="7"/>
      <c r="D13" s="7"/>
      <c r="G13" s="7"/>
      <c r="I13" s="7"/>
      <c r="K13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M1" workbookViewId="0">
      <selection activeCell="P4" sqref="P4"/>
    </sheetView>
  </sheetViews>
  <sheetFormatPr defaultRowHeight="14"/>
  <cols>
    <col min="1" max="1" width="6.1640625" customWidth="1"/>
    <col min="2" max="2" width="23.33203125" customWidth="1"/>
    <col min="3" max="3" width="23.4140625" customWidth="1"/>
    <col min="4" max="4" width="21.33203125" style="1" customWidth="1"/>
    <col min="5" max="5" width="56.08203125" customWidth="1"/>
    <col min="6" max="6" width="30.4140625" customWidth="1"/>
    <col min="7" max="7" width="23.33203125" customWidth="1"/>
    <col min="8" max="8" width="21.75" style="1" customWidth="1"/>
    <col min="9" max="9" width="31.83203125" style="1" customWidth="1"/>
    <col min="10" max="10" width="19.6640625" style="1" customWidth="1"/>
    <col min="11" max="11" width="25.5" style="1" customWidth="1"/>
    <col min="12" max="12" width="20" style="1" customWidth="1"/>
    <col min="13" max="13" width="27" customWidth="1"/>
    <col min="14" max="14" width="23.83203125" customWidth="1"/>
  </cols>
  <sheetData>
    <row r="1" spans="1:18" s="10" customFormat="1" ht="37" customHeight="1">
      <c r="A1" s="9" t="s">
        <v>158</v>
      </c>
      <c r="D1" s="11"/>
      <c r="E1" s="9"/>
      <c r="F1" s="9"/>
      <c r="G1" s="9"/>
      <c r="H1" s="11"/>
      <c r="I1" s="11"/>
      <c r="J1" s="11"/>
      <c r="K1" s="11"/>
      <c r="L1" s="11"/>
      <c r="M1" s="9"/>
      <c r="N1" s="9"/>
    </row>
    <row r="2" spans="1:18" s="13" customFormat="1" ht="51" customHeight="1">
      <c r="A2" s="12" t="s">
        <v>38</v>
      </c>
      <c r="B2" s="12" t="s">
        <v>75</v>
      </c>
      <c r="C2" s="12" t="s">
        <v>140</v>
      </c>
      <c r="D2" s="12" t="s">
        <v>1</v>
      </c>
      <c r="E2" s="12" t="s">
        <v>299</v>
      </c>
      <c r="F2" s="12" t="s">
        <v>300</v>
      </c>
      <c r="G2" s="12" t="s">
        <v>159</v>
      </c>
      <c r="H2" s="12" t="s">
        <v>3</v>
      </c>
      <c r="I2" s="12" t="s">
        <v>160</v>
      </c>
      <c r="J2" s="12" t="s">
        <v>161</v>
      </c>
      <c r="K2" s="12" t="s">
        <v>198</v>
      </c>
      <c r="L2" s="12" t="s">
        <v>162</v>
      </c>
      <c r="M2" s="12" t="s">
        <v>163</v>
      </c>
      <c r="N2" s="12" t="s">
        <v>301</v>
      </c>
    </row>
    <row r="3" spans="1:18" s="20" customFormat="1" ht="37.5" customHeight="1">
      <c r="A3" s="18">
        <v>1</v>
      </c>
      <c r="B3" s="17" t="s">
        <v>5</v>
      </c>
      <c r="C3" s="20" t="s">
        <v>277</v>
      </c>
      <c r="D3" s="16">
        <v>2025</v>
      </c>
      <c r="E3" s="17" t="s">
        <v>289</v>
      </c>
      <c r="F3" s="18" t="s">
        <v>292</v>
      </c>
      <c r="G3" s="20" t="s">
        <v>280</v>
      </c>
      <c r="H3" s="16" t="s">
        <v>144</v>
      </c>
      <c r="I3" s="16" t="s">
        <v>286</v>
      </c>
      <c r="J3" s="16" t="s">
        <v>143</v>
      </c>
      <c r="K3" s="16" t="s">
        <v>287</v>
      </c>
      <c r="L3" s="16" t="s">
        <v>288</v>
      </c>
      <c r="N3" s="20" t="s">
        <v>302</v>
      </c>
      <c r="P3" s="38">
        <f>INDEX(desa!A:A,MATCH(B3,desa!B:B,0))</f>
        <v>5</v>
      </c>
      <c r="Q3" s="39" t="s">
        <v>321</v>
      </c>
      <c r="R3" s="38" t="str">
        <f>CONCATENATE("('",P3,";",C3,";",D3,";",G3,";",H3,";",N3,";",Q3,"'),")</f>
        <v>('5;KDMP Senayan;2025;Jumaher;5 Orang;Belum Beroperasi;KDMP'),</v>
      </c>
    </row>
    <row r="4" spans="1:18" s="20" customFormat="1" ht="35.5" customHeight="1">
      <c r="A4" s="16">
        <v>2</v>
      </c>
      <c r="B4" s="20" t="s">
        <v>6</v>
      </c>
      <c r="C4" s="20" t="s">
        <v>196</v>
      </c>
      <c r="D4" s="16">
        <v>2025</v>
      </c>
      <c r="E4" s="17" t="s">
        <v>290</v>
      </c>
      <c r="F4" s="18" t="s">
        <v>293</v>
      </c>
      <c r="G4" s="20" t="s">
        <v>194</v>
      </c>
      <c r="H4" s="16" t="s">
        <v>144</v>
      </c>
      <c r="I4" s="16" t="s">
        <v>195</v>
      </c>
      <c r="J4" s="16" t="s">
        <v>143</v>
      </c>
      <c r="K4" s="16" t="s">
        <v>199</v>
      </c>
      <c r="L4" s="16" t="s">
        <v>197</v>
      </c>
      <c r="M4" s="31" t="s">
        <v>77</v>
      </c>
      <c r="N4" s="20" t="s">
        <v>302</v>
      </c>
      <c r="P4" s="38">
        <f>INDEX(desa!A:A,MATCH(B4,desa!B:B,0))</f>
        <v>3</v>
      </c>
      <c r="Q4" s="39" t="s">
        <v>321</v>
      </c>
      <c r="R4" s="38" t="str">
        <f t="shared" ref="R4:R10" si="0">CONCATENATE("('",P4,";",C4,";",D4,";",G4,";",H4,";",N4,";",Q4,"'),")</f>
        <v>('3;KDMP Mantar;2025;Darwin;5 Orang;Belum Beroperasi;KDMP'),</v>
      </c>
    </row>
    <row r="5" spans="1:18" s="20" customFormat="1" ht="35.5" customHeight="1">
      <c r="A5" s="18">
        <v>3</v>
      </c>
      <c r="B5" s="20" t="s">
        <v>7</v>
      </c>
      <c r="C5" s="20" t="s">
        <v>278</v>
      </c>
      <c r="D5" s="16">
        <v>2025</v>
      </c>
      <c r="E5" s="31" t="s">
        <v>77</v>
      </c>
      <c r="G5" s="20" t="s">
        <v>305</v>
      </c>
      <c r="H5" s="16" t="s">
        <v>144</v>
      </c>
      <c r="I5" s="16" t="s">
        <v>306</v>
      </c>
      <c r="J5" s="16" t="s">
        <v>143</v>
      </c>
      <c r="K5" s="16" t="s">
        <v>199</v>
      </c>
      <c r="L5" s="16"/>
      <c r="M5" s="31" t="s">
        <v>77</v>
      </c>
      <c r="N5" s="20" t="s">
        <v>302</v>
      </c>
      <c r="P5" s="38">
        <f>INDEX(desa!A:A,MATCH(B5,desa!B:B,0))</f>
        <v>1</v>
      </c>
      <c r="Q5" s="39" t="s">
        <v>321</v>
      </c>
      <c r="R5" s="38" t="str">
        <f t="shared" si="0"/>
        <v>('1;KDMP Kiantar;2025;Muhammad Sidik;5 Orang;Belum Beroperasi;KDMP'),</v>
      </c>
    </row>
    <row r="6" spans="1:18" s="20" customFormat="1" ht="35.5" customHeight="1">
      <c r="A6" s="16">
        <v>4</v>
      </c>
      <c r="B6" s="20" t="s">
        <v>12</v>
      </c>
      <c r="C6" s="17" t="s">
        <v>141</v>
      </c>
      <c r="D6" s="16">
        <v>2025</v>
      </c>
      <c r="E6" s="17" t="s">
        <v>296</v>
      </c>
      <c r="F6" s="18" t="s">
        <v>295</v>
      </c>
      <c r="G6" s="20" t="s">
        <v>276</v>
      </c>
      <c r="H6" s="16" t="s">
        <v>144</v>
      </c>
      <c r="I6" s="16"/>
      <c r="J6" s="16" t="s">
        <v>143</v>
      </c>
      <c r="K6" s="16" t="s">
        <v>199</v>
      </c>
      <c r="L6" s="32" t="s">
        <v>77</v>
      </c>
      <c r="M6" s="31"/>
      <c r="N6" s="20" t="s">
        <v>302</v>
      </c>
      <c r="P6" s="38">
        <f>INDEX(desa!A:A,MATCH(B6,desa!B:B,0))</f>
        <v>4</v>
      </c>
      <c r="Q6" s="39" t="s">
        <v>321</v>
      </c>
      <c r="R6" s="38" t="str">
        <f t="shared" si="0"/>
        <v>('4;KDMP Poto Tano;2025;A Karim;5 Orang;Belum Beroperasi;KDMP'),</v>
      </c>
    </row>
    <row r="7" spans="1:18" s="20" customFormat="1" ht="35.5" customHeight="1">
      <c r="A7" s="18">
        <v>5</v>
      </c>
      <c r="B7" s="20" t="s">
        <v>9</v>
      </c>
      <c r="C7" s="17" t="s">
        <v>258</v>
      </c>
      <c r="D7" s="16">
        <v>2025</v>
      </c>
      <c r="E7" s="17" t="s">
        <v>291</v>
      </c>
      <c r="F7" s="18" t="s">
        <v>294</v>
      </c>
      <c r="G7" s="20" t="s">
        <v>259</v>
      </c>
      <c r="H7" s="16" t="s">
        <v>260</v>
      </c>
      <c r="I7" s="16"/>
      <c r="J7" s="16" t="s">
        <v>143</v>
      </c>
      <c r="K7" s="16" t="s">
        <v>199</v>
      </c>
      <c r="L7" s="16"/>
      <c r="N7" s="20" t="s">
        <v>302</v>
      </c>
      <c r="P7" s="38">
        <f>INDEX(desa!A:A,MATCH(B7,desa!B:B,0))</f>
        <v>6</v>
      </c>
      <c r="Q7" s="39" t="s">
        <v>321</v>
      </c>
      <c r="R7" s="38" t="str">
        <f t="shared" si="0"/>
        <v>('6;KDMP Tambak Sari;2025;Ir. Ofik Muslim;5 orang;Belum Beroperasi;KDMP'),</v>
      </c>
    </row>
    <row r="8" spans="1:18" s="20" customFormat="1" ht="35.5" customHeight="1">
      <c r="A8" s="16">
        <v>6</v>
      </c>
      <c r="B8" s="20" t="s">
        <v>8</v>
      </c>
      <c r="C8" s="20" t="s">
        <v>157</v>
      </c>
      <c r="D8" s="16">
        <v>2026</v>
      </c>
      <c r="E8" s="17" t="s">
        <v>297</v>
      </c>
      <c r="F8" s="18" t="s">
        <v>293</v>
      </c>
      <c r="G8" s="20" t="s">
        <v>142</v>
      </c>
      <c r="H8" s="16" t="s">
        <v>143</v>
      </c>
      <c r="I8" s="16" t="s">
        <v>145</v>
      </c>
      <c r="J8" s="16" t="s">
        <v>143</v>
      </c>
      <c r="K8" s="16" t="s">
        <v>199</v>
      </c>
      <c r="L8" s="32" t="s">
        <v>146</v>
      </c>
      <c r="M8" s="31"/>
      <c r="N8" s="20" t="s">
        <v>302</v>
      </c>
      <c r="P8" s="38">
        <f>INDEX(desa!A:A,MATCH(B8,desa!B:B,0))</f>
        <v>2</v>
      </c>
      <c r="Q8" s="39" t="s">
        <v>321</v>
      </c>
      <c r="R8" s="38" t="str">
        <f t="shared" si="0"/>
        <v>('2;KDMP Kokarlian;2026;Syamsuddin;3 Orang;Belum Beroperasi;KDMP'),</v>
      </c>
    </row>
    <row r="9" spans="1:18" s="20" customFormat="1" ht="35.5" customHeight="1">
      <c r="A9" s="18">
        <v>7</v>
      </c>
      <c r="B9" s="20" t="s">
        <v>10</v>
      </c>
      <c r="C9" s="20" t="s">
        <v>279</v>
      </c>
      <c r="D9" s="16">
        <v>2025</v>
      </c>
      <c r="E9" s="31" t="s">
        <v>77</v>
      </c>
      <c r="G9" s="20" t="s">
        <v>298</v>
      </c>
      <c r="H9" s="16"/>
      <c r="I9" s="16"/>
      <c r="J9" s="16" t="s">
        <v>143</v>
      </c>
      <c r="K9" s="16" t="s">
        <v>199</v>
      </c>
      <c r="L9" s="16"/>
      <c r="N9" s="20" t="s">
        <v>302</v>
      </c>
      <c r="P9" s="38">
        <f>INDEX(desa!A:A,MATCH(B9,desa!B:B,0))</f>
        <v>7</v>
      </c>
      <c r="Q9" s="39" t="s">
        <v>321</v>
      </c>
      <c r="R9" s="38" t="str">
        <f t="shared" si="0"/>
        <v>('7;KDMP Tebo;2025;Adam;;Belum Beroperasi;KDMP'),</v>
      </c>
    </row>
    <row r="10" spans="1:18" s="20" customFormat="1" ht="35.5" customHeight="1">
      <c r="A10" s="16">
        <v>8</v>
      </c>
      <c r="B10" s="20" t="s">
        <v>11</v>
      </c>
      <c r="C10" s="20" t="s">
        <v>218</v>
      </c>
      <c r="D10" s="16">
        <v>2025</v>
      </c>
      <c r="E10" s="17" t="s">
        <v>220</v>
      </c>
      <c r="F10" s="17"/>
      <c r="G10" s="20" t="s">
        <v>219</v>
      </c>
      <c r="H10" s="16" t="s">
        <v>152</v>
      </c>
      <c r="I10" s="16" t="s">
        <v>221</v>
      </c>
      <c r="J10" s="16" t="s">
        <v>143</v>
      </c>
      <c r="K10" s="16" t="s">
        <v>222</v>
      </c>
      <c r="L10" s="32" t="s">
        <v>77</v>
      </c>
      <c r="M10" s="31" t="s">
        <v>77</v>
      </c>
      <c r="N10" s="20" t="s">
        <v>302</v>
      </c>
      <c r="P10" s="38">
        <f>INDEX(desa!A:A,MATCH(B10,desa!B:B,0))</f>
        <v>8</v>
      </c>
      <c r="Q10" s="39" t="s">
        <v>321</v>
      </c>
      <c r="R10" s="38" t="str">
        <f t="shared" si="0"/>
        <v>('8;KDMP Tua Nanga;2025;Jabarno;8 Orang;Belum Beroperasi;KDMP'),</v>
      </c>
    </row>
    <row r="11" spans="1:18" s="5" customFormat="1" ht="23" customHeight="1">
      <c r="D11" s="7"/>
      <c r="H11" s="7"/>
      <c r="I11" s="7"/>
      <c r="J11" s="7"/>
      <c r="K11" s="7"/>
      <c r="L11" s="7"/>
    </row>
    <row r="15" spans="1:18">
      <c r="E15" s="3" t="s">
        <v>261</v>
      </c>
      <c r="F15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opLeftCell="K1" workbookViewId="0">
      <selection activeCell="M5" sqref="M5"/>
    </sheetView>
  </sheetViews>
  <sheetFormatPr defaultRowHeight="14"/>
  <cols>
    <col min="1" max="1" width="5.4140625" style="1" customWidth="1"/>
    <col min="2" max="2" width="22.4140625" customWidth="1"/>
    <col min="3" max="3" width="42.83203125" customWidth="1"/>
    <col min="4" max="4" width="20.33203125" style="1" customWidth="1"/>
    <col min="5" max="5" width="66.08203125" customWidth="1"/>
    <col min="6" max="6" width="26.75" customWidth="1"/>
    <col min="7" max="7" width="33.5" style="1" customWidth="1"/>
    <col min="8" max="8" width="32.08203125" customWidth="1"/>
    <col min="9" max="9" width="22.75" style="1" customWidth="1"/>
    <col min="10" max="10" width="56" customWidth="1"/>
    <col min="11" max="11" width="33.4140625" style="1" customWidth="1"/>
    <col min="15" max="15" width="9.58203125" bestFit="1" customWidth="1"/>
  </cols>
  <sheetData>
    <row r="1" spans="1:15" s="10" customFormat="1" ht="34" customHeight="1">
      <c r="A1" s="30" t="s">
        <v>58</v>
      </c>
      <c r="D1" s="19"/>
      <c r="G1" s="19"/>
      <c r="I1" s="19"/>
      <c r="K1" s="19"/>
    </row>
    <row r="2" spans="1:15" s="5" customFormat="1" ht="31">
      <c r="A2" s="8" t="s">
        <v>13</v>
      </c>
      <c r="B2" s="8" t="s">
        <v>40</v>
      </c>
      <c r="C2" s="8" t="s">
        <v>140</v>
      </c>
      <c r="D2" s="8" t="s">
        <v>1</v>
      </c>
      <c r="E2" s="8" t="s">
        <v>165</v>
      </c>
      <c r="F2" s="8" t="s">
        <v>213</v>
      </c>
      <c r="G2" s="8" t="s">
        <v>210</v>
      </c>
      <c r="H2" s="8" t="s">
        <v>2</v>
      </c>
      <c r="I2" s="8" t="s">
        <v>3</v>
      </c>
      <c r="J2" s="8" t="s">
        <v>72</v>
      </c>
      <c r="K2" s="8" t="s">
        <v>189</v>
      </c>
    </row>
    <row r="3" spans="1:15" s="5" customFormat="1" ht="15.5">
      <c r="A3" s="4"/>
      <c r="B3" s="6"/>
      <c r="C3" s="6"/>
      <c r="D3" s="7"/>
      <c r="E3" s="6"/>
      <c r="F3" s="6"/>
      <c r="G3" s="4"/>
      <c r="H3" s="6"/>
      <c r="I3" s="4"/>
      <c r="J3" s="6"/>
      <c r="K3" s="4"/>
    </row>
    <row r="4" spans="1:15" s="20" customFormat="1" ht="33.5" customHeight="1">
      <c r="A4" s="18">
        <v>1</v>
      </c>
      <c r="B4" s="17" t="s">
        <v>5</v>
      </c>
      <c r="C4" s="17" t="s">
        <v>242</v>
      </c>
      <c r="D4" s="18">
        <v>2023</v>
      </c>
      <c r="E4" s="17" t="s">
        <v>229</v>
      </c>
      <c r="F4" s="17" t="s">
        <v>230</v>
      </c>
      <c r="G4" s="18" t="s">
        <v>231</v>
      </c>
      <c r="H4" s="17" t="s">
        <v>232</v>
      </c>
      <c r="I4" s="18" t="s">
        <v>152</v>
      </c>
      <c r="J4" s="17" t="s">
        <v>233</v>
      </c>
      <c r="K4" s="18" t="s">
        <v>73</v>
      </c>
      <c r="M4" s="38">
        <f>INDEX(desa!A:A,MATCH(B4,desa!B:B,0))</f>
        <v>5</v>
      </c>
      <c r="N4" s="39" t="s">
        <v>320</v>
      </c>
      <c r="O4" s="38" t="str">
        <f>CONCATENATE("('",M4,";",C4,";",D4,";",H4,";",I4,";",K4,";",N4,"'),")</f>
        <v>('5;Lembaga Adat Tana Samawa (LATS) Desa Senayan;2023;Jafar, S.Pd;8 Orang;Aktif;LAT'),</v>
      </c>
    </row>
    <row r="5" spans="1:15" s="20" customFormat="1" ht="25.5" customHeight="1">
      <c r="A5" s="16">
        <v>2</v>
      </c>
      <c r="B5" s="20" t="s">
        <v>6</v>
      </c>
      <c r="C5" s="17"/>
      <c r="D5" s="16"/>
      <c r="G5" s="16"/>
      <c r="I5" s="16"/>
      <c r="K5" s="16" t="s">
        <v>73</v>
      </c>
      <c r="M5" s="38">
        <f>INDEX(desa!A:A,MATCH(B5,desa!B:B,0))</f>
        <v>3</v>
      </c>
      <c r="N5" s="39" t="s">
        <v>320</v>
      </c>
      <c r="O5" s="38" t="str">
        <f t="shared" ref="O5:O11" si="0">CONCATENATE("('",M5,";",C5,";",D5,";",H5,";",I5,";",K5,";",N5,"'),")</f>
        <v>('3;;;;;Aktif;LAT'),</v>
      </c>
    </row>
    <row r="6" spans="1:15" s="20" customFormat="1" ht="36" customHeight="1">
      <c r="A6" s="16">
        <v>3</v>
      </c>
      <c r="B6" s="20" t="s">
        <v>7</v>
      </c>
      <c r="C6" s="17" t="s">
        <v>281</v>
      </c>
      <c r="D6" s="16">
        <v>2023</v>
      </c>
      <c r="E6" s="20" t="s">
        <v>282</v>
      </c>
      <c r="F6" s="35" t="s">
        <v>285</v>
      </c>
      <c r="G6" s="16" t="s">
        <v>283</v>
      </c>
      <c r="H6" s="20" t="s">
        <v>284</v>
      </c>
      <c r="I6" s="16" t="s">
        <v>225</v>
      </c>
      <c r="J6" s="17" t="s">
        <v>233</v>
      </c>
      <c r="K6" s="16" t="s">
        <v>73</v>
      </c>
      <c r="M6" s="38">
        <f>INDEX(desa!A:A,MATCH(B6,desa!B:B,0))</f>
        <v>1</v>
      </c>
      <c r="N6" s="39" t="s">
        <v>320</v>
      </c>
      <c r="O6" s="38" t="str">
        <f t="shared" si="0"/>
        <v>('1;Lembaga Adat Tana Samawa (LATS) Desa Kiantar;2023;Abdullah;42 Orang;Aktif;LAT'),</v>
      </c>
    </row>
    <row r="7" spans="1:15" s="20" customFormat="1" ht="25.5" customHeight="1">
      <c r="A7" s="16">
        <v>4</v>
      </c>
      <c r="B7" s="20" t="s">
        <v>12</v>
      </c>
      <c r="D7" s="16"/>
      <c r="G7" s="16"/>
      <c r="I7" s="16"/>
      <c r="K7" s="16" t="s">
        <v>73</v>
      </c>
      <c r="M7" s="38">
        <f>INDEX(desa!A:A,MATCH(B7,desa!B:B,0))</f>
        <v>4</v>
      </c>
      <c r="N7" s="39" t="s">
        <v>320</v>
      </c>
      <c r="O7" s="38" t="str">
        <f t="shared" si="0"/>
        <v>('4;;;;;Aktif;LAT'),</v>
      </c>
    </row>
    <row r="8" spans="1:15" s="20" customFormat="1" ht="41" customHeight="1">
      <c r="A8" s="16">
        <v>5</v>
      </c>
      <c r="B8" s="20" t="s">
        <v>9</v>
      </c>
      <c r="C8" s="17" t="s">
        <v>249</v>
      </c>
      <c r="D8" s="18">
        <v>2023</v>
      </c>
      <c r="E8" s="17" t="s">
        <v>250</v>
      </c>
      <c r="F8" s="20" t="s">
        <v>202</v>
      </c>
      <c r="G8" s="16" t="s">
        <v>283</v>
      </c>
      <c r="H8" s="20" t="s">
        <v>251</v>
      </c>
      <c r="I8" s="16" t="s">
        <v>143</v>
      </c>
      <c r="J8" s="17" t="s">
        <v>233</v>
      </c>
      <c r="K8" s="16"/>
      <c r="M8" s="38">
        <f>INDEX(desa!A:A,MATCH(B8,desa!B:B,0))</f>
        <v>6</v>
      </c>
      <c r="N8" s="39" t="s">
        <v>320</v>
      </c>
      <c r="O8" s="38" t="str">
        <f t="shared" si="0"/>
        <v>('6;Lembaga Adat Desa Desa Tambak Sari;2023;Drs. Agus Salim;3 Orang;;LAT'),</v>
      </c>
    </row>
    <row r="9" spans="1:15" s="20" customFormat="1" ht="25.5" customHeight="1">
      <c r="A9" s="16">
        <v>6</v>
      </c>
      <c r="B9" s="20" t="s">
        <v>8</v>
      </c>
      <c r="D9" s="16"/>
      <c r="G9" s="16"/>
      <c r="I9" s="16"/>
      <c r="K9" s="16"/>
      <c r="M9" s="38">
        <f>INDEX(desa!A:A,MATCH(B9,desa!B:B,0))</f>
        <v>2</v>
      </c>
      <c r="N9" s="39" t="s">
        <v>320</v>
      </c>
      <c r="O9" s="38" t="str">
        <f t="shared" si="0"/>
        <v>('2;;;;;;LAT'),</v>
      </c>
    </row>
    <row r="10" spans="1:15" s="20" customFormat="1" ht="25.5" customHeight="1">
      <c r="A10" s="16">
        <v>7</v>
      </c>
      <c r="B10" s="20" t="s">
        <v>10</v>
      </c>
      <c r="D10" s="16"/>
      <c r="G10" s="16"/>
      <c r="I10" s="16"/>
      <c r="K10" s="16"/>
      <c r="M10" s="38">
        <f>INDEX(desa!A:A,MATCH(B10,desa!B:B,0))</f>
        <v>7</v>
      </c>
      <c r="N10" s="39" t="s">
        <v>320</v>
      </c>
      <c r="O10" s="38" t="str">
        <f t="shared" si="0"/>
        <v>('7;;;;;;LAT'),</v>
      </c>
    </row>
    <row r="11" spans="1:15" s="20" customFormat="1" ht="36" customHeight="1">
      <c r="A11" s="16">
        <v>8</v>
      </c>
      <c r="B11" s="20" t="s">
        <v>11</v>
      </c>
      <c r="C11" s="20" t="s">
        <v>240</v>
      </c>
      <c r="D11" s="16">
        <v>2023</v>
      </c>
      <c r="E11" s="17" t="s">
        <v>241</v>
      </c>
      <c r="G11" s="16"/>
      <c r="I11" s="16"/>
      <c r="J11" s="17" t="s">
        <v>233</v>
      </c>
      <c r="K11" s="16" t="s">
        <v>73</v>
      </c>
      <c r="M11" s="38">
        <f>INDEX(desa!A:A,MATCH(B11,desa!B:B,0))</f>
        <v>8</v>
      </c>
      <c r="N11" s="39" t="s">
        <v>320</v>
      </c>
      <c r="O11" s="38" t="str">
        <f t="shared" si="0"/>
        <v>('8;Lembaga Adat Desa Tua Nanga;2023;;;Aktif;LAT'),</v>
      </c>
    </row>
    <row r="12" spans="1:15" s="5" customFormat="1" ht="15.5">
      <c r="A12" s="7"/>
      <c r="D12" s="7"/>
      <c r="G12" s="7"/>
      <c r="I12" s="7"/>
      <c r="K12" s="7"/>
    </row>
    <row r="13" spans="1:15" s="5" customFormat="1" ht="15.5">
      <c r="A13" s="7"/>
      <c r="D13" s="7"/>
      <c r="G13" s="7"/>
      <c r="I13" s="7"/>
      <c r="K13" s="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1" sqref="B11"/>
    </sheetView>
  </sheetViews>
  <sheetFormatPr defaultRowHeight="14.5"/>
  <cols>
    <col min="1" max="16384" width="8.6640625" style="37"/>
  </cols>
  <sheetData>
    <row r="1" spans="1:3">
      <c r="A1" s="36">
        <v>1</v>
      </c>
      <c r="B1" s="36" t="s">
        <v>7</v>
      </c>
      <c r="C1" s="36">
        <v>6</v>
      </c>
    </row>
    <row r="2" spans="1:3">
      <c r="A2" s="36">
        <v>2</v>
      </c>
      <c r="B2" s="36" t="s">
        <v>8</v>
      </c>
      <c r="C2" s="36">
        <v>6</v>
      </c>
    </row>
    <row r="3" spans="1:3">
      <c r="A3" s="36">
        <v>3</v>
      </c>
      <c r="B3" s="36" t="s">
        <v>6</v>
      </c>
      <c r="C3" s="36">
        <v>6</v>
      </c>
    </row>
    <row r="4" spans="1:3">
      <c r="A4" s="36">
        <v>4</v>
      </c>
      <c r="B4" s="36" t="s">
        <v>12</v>
      </c>
      <c r="C4" s="36">
        <v>6</v>
      </c>
    </row>
    <row r="5" spans="1:3">
      <c r="A5" s="36">
        <v>5</v>
      </c>
      <c r="B5" s="36" t="s">
        <v>5</v>
      </c>
      <c r="C5" s="36">
        <v>6</v>
      </c>
    </row>
    <row r="6" spans="1:3">
      <c r="A6" s="36">
        <v>6</v>
      </c>
      <c r="B6" s="36" t="s">
        <v>317</v>
      </c>
      <c r="C6" s="36">
        <v>6</v>
      </c>
    </row>
    <row r="7" spans="1:3">
      <c r="A7" s="36">
        <v>7</v>
      </c>
      <c r="B7" s="36" t="s">
        <v>10</v>
      </c>
      <c r="C7" s="36">
        <v>6</v>
      </c>
    </row>
    <row r="8" spans="1:3">
      <c r="A8" s="36">
        <v>8</v>
      </c>
      <c r="B8" s="36" t="s">
        <v>88</v>
      </c>
      <c r="C8" s="36">
        <v>6</v>
      </c>
    </row>
    <row r="9" spans="1:3">
      <c r="A9" s="36">
        <v>8</v>
      </c>
      <c r="B9" s="36" t="s">
        <v>318</v>
      </c>
      <c r="C9" s="36">
        <v>6</v>
      </c>
    </row>
    <row r="10" spans="1:3" ht="19">
      <c r="A10" s="36">
        <v>6</v>
      </c>
      <c r="B10" s="36" t="s">
        <v>319</v>
      </c>
      <c r="C10" s="36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PKK</vt:lpstr>
      <vt:lpstr>Posyandu</vt:lpstr>
      <vt:lpstr>Karang Taruna</vt:lpstr>
      <vt:lpstr>KDMP</vt:lpstr>
      <vt:lpstr>LAT</vt:lpstr>
      <vt:lpstr>desa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V14</dc:creator>
  <cp:lastModifiedBy>Bagus Hartiansyah</cp:lastModifiedBy>
  <dcterms:created xsi:type="dcterms:W3CDTF">2026-06-22T00:25:10Z</dcterms:created>
  <dcterms:modified xsi:type="dcterms:W3CDTF">2026-07-05T23:47:47Z</dcterms:modified>
</cp:coreProperties>
</file>